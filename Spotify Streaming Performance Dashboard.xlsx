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E3D47168-2407-47CC-9533-DD0ECADB3FFB}" xr6:coauthVersionLast="47" xr6:coauthVersionMax="47" xr10:uidLastSave="{00000000-0000-0000-0000-000000000000}"/>
  <bookViews>
    <workbookView xWindow="-110" yWindow="-110" windowWidth="19420" windowHeight="10300" activeTab="5" xr2:uid="{EFA08349-74BE-4ECF-8BBC-7DDC98327AAB}"/>
  </bookViews>
  <sheets>
    <sheet name="spotify" sheetId="2" r:id="rId1"/>
    <sheet name="row data" sheetId="1" r:id="rId2"/>
    <sheet name="kpi" sheetId="3" r:id="rId3"/>
    <sheet name="chart" sheetId="4" r:id="rId4"/>
    <sheet name="Chart1" sheetId="6" r:id="rId5"/>
    <sheet name="Sheet3" sheetId="5" r:id="rId6"/>
  </sheets>
  <definedNames>
    <definedName name="ExternalData_1" localSheetId="0" hidden="1">spotify!$A$1:$N$501</definedName>
    <definedName name="Slicer_Artist_Name">#N/A</definedName>
    <definedName name="Slicer_Artist_Type">#N/A</definedName>
    <definedName name="Slicer_Country_of_Origin">#N/A</definedName>
    <definedName name="Slicer_Debut_Year">#N/A</definedName>
    <definedName name="Slicer_Gender">#N/A</definedName>
    <definedName name="Slicer_Primary_Genre">#N/A</definedName>
    <definedName name="Slicer_Primary_Languag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8" i="4" l="1"/>
  <c r="B38" i="4"/>
  <c r="A39" i="4"/>
  <c r="B39" i="4"/>
  <c r="A40" i="4"/>
  <c r="B40" i="4"/>
  <c r="D2" i="5"/>
  <c r="G2" i="5"/>
  <c r="M2" i="5"/>
  <c r="J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FBC1DF-8885-41F3-83E1-F256649BF19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<sst xmlns="http://schemas.openxmlformats.org/spreadsheetml/2006/main" count="6099" uniqueCount="618">
  <si>
    <t>Artist Name</t>
  </si>
  <si>
    <t>Sex</t>
  </si>
  <si>
    <t>Country of Origin</t>
  </si>
  <si>
    <t>Primary Language</t>
  </si>
  <si>
    <t>Primary Genre</t>
  </si>
  <si>
    <t xml:space="preserve"> Artist Type</t>
  </si>
  <si>
    <t>Debut Year</t>
  </si>
  <si>
    <t>Total Streams (in millions)</t>
  </si>
  <si>
    <t>Lead Streams (in millions)</t>
  </si>
  <si>
    <t>Feature Streams (in millions)</t>
  </si>
  <si>
    <t>Solo Streams (in millions)</t>
  </si>
  <si>
    <t>% of Solo Streams</t>
  </si>
  <si>
    <t>Collaborative Streams (in millions)</t>
  </si>
  <si>
    <t>% of Collaborative Streams</t>
  </si>
  <si>
    <t>Drake</t>
  </si>
  <si>
    <t>Male</t>
  </si>
  <si>
    <t>Canada</t>
  </si>
  <si>
    <t>English</t>
  </si>
  <si>
    <t>Hip-Hop</t>
  </si>
  <si>
    <t>Solo</t>
  </si>
  <si>
    <t>Taylor Swift</t>
  </si>
  <si>
    <t>Female</t>
  </si>
  <si>
    <t>United States</t>
  </si>
  <si>
    <t>Pop</t>
  </si>
  <si>
    <t>Bad Bunny</t>
  </si>
  <si>
    <t>Spanish</t>
  </si>
  <si>
    <t>Reggaeton</t>
  </si>
  <si>
    <t>The Weeknd</t>
  </si>
  <si>
    <t>R&amp;B</t>
  </si>
  <si>
    <t>Justin Bieber</t>
  </si>
  <si>
    <t>Ariana Grande</t>
  </si>
  <si>
    <t>Travis Scott</t>
  </si>
  <si>
    <t>Kanye West</t>
  </si>
  <si>
    <t>Ed Sheeran</t>
  </si>
  <si>
    <t>United Kingdom</t>
  </si>
  <si>
    <t>Eminem</t>
  </si>
  <si>
    <t>Rihanna</t>
  </si>
  <si>
    <t>Barbados</t>
  </si>
  <si>
    <t>Billie Eilish</t>
  </si>
  <si>
    <t>Bruno Mars</t>
  </si>
  <si>
    <t>Kendrick Lamar</t>
  </si>
  <si>
    <t>Post Malone</t>
  </si>
  <si>
    <t>J Balvin</t>
  </si>
  <si>
    <t>Colombia</t>
  </si>
  <si>
    <t>Future</t>
  </si>
  <si>
    <t>BTS</t>
  </si>
  <si>
    <t>South Korea</t>
  </si>
  <si>
    <t>Korean</t>
  </si>
  <si>
    <t>K-Pop</t>
  </si>
  <si>
    <t>Group</t>
  </si>
  <si>
    <t>Ozuna</t>
  </si>
  <si>
    <t>Coldplay</t>
  </si>
  <si>
    <t>Rock</t>
  </si>
  <si>
    <t>Juice WRLD</t>
  </si>
  <si>
    <t>Chris Brown</t>
  </si>
  <si>
    <t>Nicki Minaj</t>
  </si>
  <si>
    <t>Trinidad and Tobago</t>
  </si>
  <si>
    <t>Lana Del Rey</t>
  </si>
  <si>
    <t>Alternative</t>
  </si>
  <si>
    <t>David Guetta</t>
  </si>
  <si>
    <t>France</t>
  </si>
  <si>
    <t>EDM</t>
  </si>
  <si>
    <t>Dua Lipa</t>
  </si>
  <si>
    <t>Daddy Yankee</t>
  </si>
  <si>
    <t>Rauw Alejandro</t>
  </si>
  <si>
    <t>Anuel AA</t>
  </si>
  <si>
    <t>XXXTENTACION</t>
  </si>
  <si>
    <t>Imagine Dragons</t>
  </si>
  <si>
    <t>Lil Wayne</t>
  </si>
  <si>
    <t>21 Savage</t>
  </si>
  <si>
    <t>SZA</t>
  </si>
  <si>
    <t>Arijit Singh</t>
  </si>
  <si>
    <t>India</t>
  </si>
  <si>
    <t>Hindi</t>
  </si>
  <si>
    <t>Filmi</t>
  </si>
  <si>
    <t>Lady Gaga</t>
  </si>
  <si>
    <t>KAROL G</t>
  </si>
  <si>
    <t>Lil Baby</t>
  </si>
  <si>
    <t>Maroon 5</t>
  </si>
  <si>
    <t>Mixed</t>
  </si>
  <si>
    <t>Khalid</t>
  </si>
  <si>
    <t>BeyoncÃ©</t>
  </si>
  <si>
    <t>Maluma</t>
  </si>
  <si>
    <t>Latin</t>
  </si>
  <si>
    <t>Feid</t>
  </si>
  <si>
    <t>Calvin Harris</t>
  </si>
  <si>
    <t>Scotland</t>
  </si>
  <si>
    <t>Myke Towers</t>
  </si>
  <si>
    <t>Linkin Park</t>
  </si>
  <si>
    <t>Peso Pluma</t>
  </si>
  <si>
    <t>Mexico</t>
  </si>
  <si>
    <t>Regional Mexican</t>
  </si>
  <si>
    <t>J. Cole</t>
  </si>
  <si>
    <t>Lil Uzi Vert</t>
  </si>
  <si>
    <t>Sia</t>
  </si>
  <si>
    <t>Australia</t>
  </si>
  <si>
    <t>Doja Cat</t>
  </si>
  <si>
    <t>Shakira</t>
  </si>
  <si>
    <t>Morgan Wallen</t>
  </si>
  <si>
    <t>Country</t>
  </si>
  <si>
    <t>Young Thug</t>
  </si>
  <si>
    <t>Farruko</t>
  </si>
  <si>
    <t>Shawn Mendes</t>
  </si>
  <si>
    <t>Harry Styles</t>
  </si>
  <si>
    <t>Queen</t>
  </si>
  <si>
    <t>Sam Smith</t>
  </si>
  <si>
    <t>One Direction</t>
  </si>
  <si>
    <t>Metro Boomin</t>
  </si>
  <si>
    <t>Olivia Rodrigo</t>
  </si>
  <si>
    <t>Adele</t>
  </si>
  <si>
    <t>Pritam</t>
  </si>
  <si>
    <t>Katy Perry</t>
  </si>
  <si>
    <t>Gunna</t>
  </si>
  <si>
    <t>Arctic Monkeys</t>
  </si>
  <si>
    <t>Fuerza Regida</t>
  </si>
  <si>
    <t>Junior H</t>
  </si>
  <si>
    <t>Tyler, The Creator</t>
  </si>
  <si>
    <t>Selena Gomez</t>
  </si>
  <si>
    <t>Ty Dolla $ign</t>
  </si>
  <si>
    <t>The Beatles</t>
  </si>
  <si>
    <t>Pitbull</t>
  </si>
  <si>
    <t>Nicky Jam</t>
  </si>
  <si>
    <t>Playboi Carti</t>
  </si>
  <si>
    <t>Halsey</t>
  </si>
  <si>
    <t>Wiz Khalifa</t>
  </si>
  <si>
    <t>Michael Jackson</t>
  </si>
  <si>
    <t>Sabrina Carpenter</t>
  </si>
  <si>
    <t>Frank Ocean</t>
  </si>
  <si>
    <t>Die drei ???</t>
  </si>
  <si>
    <t>Germany</t>
  </si>
  <si>
    <t>German</t>
  </si>
  <si>
    <t>Spoken Word</t>
  </si>
  <si>
    <t>JAÅ¸-Z</t>
  </si>
  <si>
    <t>A$AP Rocky</t>
  </si>
  <si>
    <t>Miley Cyrus</t>
  </si>
  <si>
    <t>The Chainsmokers</t>
  </si>
  <si>
    <t>Marshmello</t>
  </si>
  <si>
    <t>Cardi B</t>
  </si>
  <si>
    <t>Twenty One Pilots</t>
  </si>
  <si>
    <t>Disney</t>
  </si>
  <si>
    <t>Soundtrack</t>
  </si>
  <si>
    <t>ArcÃ¡ngel</t>
  </si>
  <si>
    <t>Red Hot Chili Peppers</t>
  </si>
  <si>
    <t>Camila Cabello</t>
  </si>
  <si>
    <t>Cuba</t>
  </si>
  <si>
    <t>$uicideboy$</t>
  </si>
  <si>
    <t>OneRepublic</t>
  </si>
  <si>
    <t>Avicii</t>
  </si>
  <si>
    <t>Sweden</t>
  </si>
  <si>
    <t>Diplo</t>
  </si>
  <si>
    <t>Snoop Dogg</t>
  </si>
  <si>
    <t>Romeo Santos</t>
  </si>
  <si>
    <t>Bachata</t>
  </si>
  <si>
    <t>50 Cent</t>
  </si>
  <si>
    <t>Natanael Cano</t>
  </si>
  <si>
    <t>YoungBoy Never Broke Again</t>
  </si>
  <si>
    <t>Mac Miller</t>
  </si>
  <si>
    <t>DaBaby</t>
  </si>
  <si>
    <t>Don Toliver</t>
  </si>
  <si>
    <t>Zach Bryan</t>
  </si>
  <si>
    <t>Kygo</t>
  </si>
  <si>
    <t>Norway</t>
  </si>
  <si>
    <t>Sech</t>
  </si>
  <si>
    <t>Panama</t>
  </si>
  <si>
    <t>The Neighbourhood</t>
  </si>
  <si>
    <t>Quavo</t>
  </si>
  <si>
    <t>Henrique &amp; Juliano</t>
  </si>
  <si>
    <t>Brazil</t>
  </si>
  <si>
    <t>Portuguese</t>
  </si>
  <si>
    <t>Sertanjeo</t>
  </si>
  <si>
    <t>Luke Combs</t>
  </si>
  <si>
    <t>Elton John</t>
  </si>
  <si>
    <t>Manuel Turizo</t>
  </si>
  <si>
    <t>Trippie Redd</t>
  </si>
  <si>
    <t>Tate McRae</t>
  </si>
  <si>
    <t>Lil Peep</t>
  </si>
  <si>
    <t>Metallica</t>
  </si>
  <si>
    <t>Don Omar</t>
  </si>
  <si>
    <t>USHER</t>
  </si>
  <si>
    <t>Charlie Puth</t>
  </si>
  <si>
    <t>Justin Timberlake</t>
  </si>
  <si>
    <t>TiÃ«sto</t>
  </si>
  <si>
    <t>Netherlands</t>
  </si>
  <si>
    <t>Sean Paul</t>
  </si>
  <si>
    <t>Jamaica</t>
  </si>
  <si>
    <t>Reggae</t>
  </si>
  <si>
    <t>Tyga</t>
  </si>
  <si>
    <t>Kali Uchis</t>
  </si>
  <si>
    <t>Kodak Black</t>
  </si>
  <si>
    <t>Jason Derulo</t>
  </si>
  <si>
    <t>BLACKPINK</t>
  </si>
  <si>
    <t>JHAYCO</t>
  </si>
  <si>
    <t>Bebe Rexha</t>
  </si>
  <si>
    <t>Daft Punk</t>
  </si>
  <si>
    <t>Luis Miguel</t>
  </si>
  <si>
    <t>Demi Lovato</t>
  </si>
  <si>
    <t>Akon</t>
  </si>
  <si>
    <t>Senegal</t>
  </si>
  <si>
    <t>AC/DC</t>
  </si>
  <si>
    <t>Sebastian Yatra</t>
  </si>
  <si>
    <t>CarÃ­n LeÃ³n</t>
  </si>
  <si>
    <t>Alan Walker</t>
  </si>
  <si>
    <t>A Boogie Wit da Hoodie</t>
  </si>
  <si>
    <t>Fleetwood Mac</t>
  </si>
  <si>
    <t>Hozier</t>
  </si>
  <si>
    <t>Ireland</t>
  </si>
  <si>
    <t>Ellie Goulding</t>
  </si>
  <si>
    <t>Radiohead</t>
  </si>
  <si>
    <t>Big Sean</t>
  </si>
  <si>
    <t>Flo Rida</t>
  </si>
  <si>
    <t>P!nk</t>
  </si>
  <si>
    <t>Nirvana</t>
  </si>
  <si>
    <t>Pop Smoke</t>
  </si>
  <si>
    <t>Britney Spears</t>
  </si>
  <si>
    <t>James Arthur</t>
  </si>
  <si>
    <t>Tory Lanez</t>
  </si>
  <si>
    <t>Pharrell Williams</t>
  </si>
  <si>
    <t>DJ Snake</t>
  </si>
  <si>
    <t>Daniel Caesar</t>
  </si>
  <si>
    <t>Black Eyed Peas</t>
  </si>
  <si>
    <t>Swae Lee</t>
  </si>
  <si>
    <t>Shreya Ghoshal</t>
  </si>
  <si>
    <t>Duki</t>
  </si>
  <si>
    <t>Argentina</t>
  </si>
  <si>
    <t>Bizarrap</t>
  </si>
  <si>
    <t>Migos</t>
  </si>
  <si>
    <t>The Kid LAROI</t>
  </si>
  <si>
    <t>MarÃ­lia MendonÃ§a</t>
  </si>
  <si>
    <t>Anitta</t>
  </si>
  <si>
    <t>Green Day</t>
  </si>
  <si>
    <t>Lil Durk</t>
  </si>
  <si>
    <t>Polo G</t>
  </si>
  <si>
    <t>A.R. Rahman</t>
  </si>
  <si>
    <t>Tamil</t>
  </si>
  <si>
    <t>G-Eazy</t>
  </si>
  <si>
    <t>Kid Cudi</t>
  </si>
  <si>
    <t>Justin Quiles</t>
  </si>
  <si>
    <t>Bob Marley &amp; The Wailers</t>
  </si>
  <si>
    <t>Stray Kids</t>
  </si>
  <si>
    <t>Anirudh Ravichander</t>
  </si>
  <si>
    <t>Ne-Yo</t>
  </si>
  <si>
    <t>Gucci Mane</t>
  </si>
  <si>
    <t>ROSALÃA</t>
  </si>
  <si>
    <t>Spain</t>
  </si>
  <si>
    <t>Charli xcx</t>
  </si>
  <si>
    <t>Joji</t>
  </si>
  <si>
    <t>Japan</t>
  </si>
  <si>
    <t>Fall Out Boy</t>
  </si>
  <si>
    <t>PARTYNEXTDOOR</t>
  </si>
  <si>
    <t>Jorge &amp; Mateus</t>
  </si>
  <si>
    <t>Offset</t>
  </si>
  <si>
    <t>Panic! At The Disco</t>
  </si>
  <si>
    <t>Tame Impala</t>
  </si>
  <si>
    <t>Quevedo</t>
  </si>
  <si>
    <t>Morat</t>
  </si>
  <si>
    <t>Zara Larsson</t>
  </si>
  <si>
    <t>Tito Double P</t>
  </si>
  <si>
    <t>Jul</t>
  </si>
  <si>
    <t>French</t>
  </si>
  <si>
    <t>2Pac</t>
  </si>
  <si>
    <t>Gorillaz</t>
  </si>
  <si>
    <t>Lewis Capaldi</t>
  </si>
  <si>
    <t>Grupo Frontera</t>
  </si>
  <si>
    <t>Camilo</t>
  </si>
  <si>
    <t>Lenny TavÃ¡rez</t>
  </si>
  <si>
    <t>2 Chainz</t>
  </si>
  <si>
    <t>NF</t>
  </si>
  <si>
    <t>Bryson Tiller</t>
  </si>
  <si>
    <t>Rels B</t>
  </si>
  <si>
    <t>Roddy Ricch</t>
  </si>
  <si>
    <t>Guns N' Roses</t>
  </si>
  <si>
    <t>Mariah Carey</t>
  </si>
  <si>
    <t>Noah Kahan</t>
  </si>
  <si>
    <t>Folk</t>
  </si>
  <si>
    <t>Megan Thee Stallion</t>
  </si>
  <si>
    <t>Christian Nodal</t>
  </si>
  <si>
    <t>Brent Faiyaz</t>
  </si>
  <si>
    <t>Martin Garrix</t>
  </si>
  <si>
    <t>Banda MS de Sergio LizÃ¡rraga</t>
  </si>
  <si>
    <t>Pink Floyd</t>
  </si>
  <si>
    <t>mgk</t>
  </si>
  <si>
    <t>Wisin &amp; Yandel</t>
  </si>
  <si>
    <t>Dr. Dre</t>
  </si>
  <si>
    <t>Mora</t>
  </si>
  <si>
    <t>Cigarettes After Sex</t>
  </si>
  <si>
    <t>Childish Gambino</t>
  </si>
  <si>
    <t>Wisin</t>
  </si>
  <si>
    <t>Major Lazer</t>
  </si>
  <si>
    <t>John Mayer</t>
  </si>
  <si>
    <t>Miguel</t>
  </si>
  <si>
    <t>Lil Nas X</t>
  </si>
  <si>
    <t>System Of A Down</t>
  </si>
  <si>
    <t>Metal</t>
  </si>
  <si>
    <t>Logic</t>
  </si>
  <si>
    <t>ABBA</t>
  </si>
  <si>
    <t>Becky G</t>
  </si>
  <si>
    <t>Yandel</t>
  </si>
  <si>
    <t>Enrique Iglesias</t>
  </si>
  <si>
    <t>Lil Yachty</t>
  </si>
  <si>
    <t>Luis R Conriquez</t>
  </si>
  <si>
    <t>Zion &amp; Lennox</t>
  </si>
  <si>
    <t>5 Seconds of Summer</t>
  </si>
  <si>
    <t>Jack Harlow</t>
  </si>
  <si>
    <t>TWICE</t>
  </si>
  <si>
    <t>Ã‘engo Flow</t>
  </si>
  <si>
    <t>Ava Max</t>
  </si>
  <si>
    <t>ZAYN</t>
  </si>
  <si>
    <t>Michael BublÃ©</t>
  </si>
  <si>
    <t>Macklemore</t>
  </si>
  <si>
    <t>Anne-Marie</t>
  </si>
  <si>
    <t>The Rolling Stones</t>
  </si>
  <si>
    <t>Frank Sinatra</t>
  </si>
  <si>
    <t>Robin Schulz</t>
  </si>
  <si>
    <t>Bryant Myers</t>
  </si>
  <si>
    <t>Gusttavo Lima</t>
  </si>
  <si>
    <t>Eladio Carrion</t>
  </si>
  <si>
    <t>Grupo Firme</t>
  </si>
  <si>
    <t>Amitabh Bhattacharya</t>
  </si>
  <si>
    <t>Alicia Keys</t>
  </si>
  <si>
    <t>Kesha</t>
  </si>
  <si>
    <t>LAUV</t>
  </si>
  <si>
    <t>Madonna</t>
  </si>
  <si>
    <t>Reik</t>
  </si>
  <si>
    <t>John Legend</t>
  </si>
  <si>
    <t>Meghan Trainor</t>
  </si>
  <si>
    <t>Lil Tecca</t>
  </si>
  <si>
    <t>Lorde</t>
  </si>
  <si>
    <t>New Zealand</t>
  </si>
  <si>
    <t>MC Ryan SP</t>
  </si>
  <si>
    <t>Chris Stapleton</t>
  </si>
  <si>
    <t>French Montana</t>
  </si>
  <si>
    <t>Morocco</t>
  </si>
  <si>
    <t>Melanie Martinez</t>
  </si>
  <si>
    <t>Elvis Presley</t>
  </si>
  <si>
    <t>Rick Ross</t>
  </si>
  <si>
    <t>Cris MJ</t>
  </si>
  <si>
    <t>Chile</t>
  </si>
  <si>
    <t>Zedd</t>
  </si>
  <si>
    <t>Russia</t>
  </si>
  <si>
    <t>Paramore</t>
  </si>
  <si>
    <t>Chance the Rapper</t>
  </si>
  <si>
    <t>Ninho</t>
  </si>
  <si>
    <t>blackbear</t>
  </si>
  <si>
    <t>Creedence Clearwater Revival</t>
  </si>
  <si>
    <t>T-Pain</t>
  </si>
  <si>
    <t>Jung Kook</t>
  </si>
  <si>
    <t>Skrillex</t>
  </si>
  <si>
    <t>DJ Khaled</t>
  </si>
  <si>
    <t>Wizkid</t>
  </si>
  <si>
    <t>Nigeria</t>
  </si>
  <si>
    <t>Afrobeats</t>
  </si>
  <si>
    <t>Oasis</t>
  </si>
  <si>
    <t>Christina Aguilera</t>
  </si>
  <si>
    <t>Slipknot</t>
  </si>
  <si>
    <t>Irshad Kamil</t>
  </si>
  <si>
    <t>Little Mix</t>
  </si>
  <si>
    <t>BeÃ©le</t>
  </si>
  <si>
    <t>The Notorious B.I.G.</t>
  </si>
  <si>
    <t>Mitski</t>
  </si>
  <si>
    <t>Tainy</t>
  </si>
  <si>
    <t>ZÃ© Neto &amp; Cristiano</t>
  </si>
  <si>
    <t>Rammstein</t>
  </si>
  <si>
    <t>Labrinth</t>
  </si>
  <si>
    <t>Chencho Corleone</t>
  </si>
  <si>
    <t>Darell</t>
  </si>
  <si>
    <t>Bon Jovi</t>
  </si>
  <si>
    <t>The Killers</t>
  </si>
  <si>
    <t>blink-182</t>
  </si>
  <si>
    <t>Summer Walker</t>
  </si>
  <si>
    <t>JhenÃ© Aiko</t>
  </si>
  <si>
    <t>Kehlani</t>
  </si>
  <si>
    <t>Clean Bandit</t>
  </si>
  <si>
    <t>David Bowie</t>
  </si>
  <si>
    <t>U2</t>
  </si>
  <si>
    <t>Aventura</t>
  </si>
  <si>
    <t>Foo Fighters</t>
  </si>
  <si>
    <t>The 1975</t>
  </si>
  <si>
    <t>Maria Becerra</t>
  </si>
  <si>
    <t>Plan B</t>
  </si>
  <si>
    <t>Steve Lacy</t>
  </si>
  <si>
    <t>De La Ghetto</t>
  </si>
  <si>
    <t>Troye Sivan</t>
  </si>
  <si>
    <t>South Africa</t>
  </si>
  <si>
    <t>Conan Gray</t>
  </si>
  <si>
    <t>Ludacris</t>
  </si>
  <si>
    <t>Burna Boy</t>
  </si>
  <si>
    <t>Danny Ocean</t>
  </si>
  <si>
    <t>Venezuela</t>
  </si>
  <si>
    <t>Meek Mill</t>
  </si>
  <si>
    <t>My Chemical Romance</t>
  </si>
  <si>
    <t>Alessia Cara</t>
  </si>
  <si>
    <t>Vishal-Shekhar</t>
  </si>
  <si>
    <t>Paulo Londra</t>
  </si>
  <si>
    <t>La Arrolladora Banda El LimÃ³n De Rene Camacho</t>
  </si>
  <si>
    <t>Yeat</t>
  </si>
  <si>
    <t>Matheus &amp; Kauan</t>
  </si>
  <si>
    <t>Alok</t>
  </si>
  <si>
    <t>Bring Me The Horizon</t>
  </si>
  <si>
    <t>Central Cee</t>
  </si>
  <si>
    <t>League of Legends</t>
  </si>
  <si>
    <t>Mac DeMarco</t>
  </si>
  <si>
    <t>Benson Boone</t>
  </si>
  <si>
    <t>Dalex</t>
  </si>
  <si>
    <t>Nickelback</t>
  </si>
  <si>
    <t>Marc Anthony</t>
  </si>
  <si>
    <t>ManÃ¡</t>
  </si>
  <si>
    <t>Led Zeppelin</t>
  </si>
  <si>
    <t>MÃ¥neskin</t>
  </si>
  <si>
    <t>Italy</t>
  </si>
  <si>
    <t>Italian</t>
  </si>
  <si>
    <t>Florida Georgia Line</t>
  </si>
  <si>
    <t>Luis Fonsi</t>
  </si>
  <si>
    <t>RAYE</t>
  </si>
  <si>
    <t>Neton Vega</t>
  </si>
  <si>
    <t>Gracie Abrams</t>
  </si>
  <si>
    <t>Timbaland</t>
  </si>
  <si>
    <t>Jeremih</t>
  </si>
  <si>
    <t>The Lumineers</t>
  </si>
  <si>
    <t>Oscar Maydon</t>
  </si>
  <si>
    <t>Anderson .Paak</t>
  </si>
  <si>
    <t>Chase Atlantic</t>
  </si>
  <si>
    <t>JuliÃ³n Ãlvarez y su NorteÃ±o Banda</t>
  </si>
  <si>
    <t>Prince Royce</t>
  </si>
  <si>
    <t>Bastille</t>
  </si>
  <si>
    <t>Sfera Ebbasta</t>
  </si>
  <si>
    <t>Florence + The Machine</t>
  </si>
  <si>
    <t>YG</t>
  </si>
  <si>
    <t>Alejandro Sanz</t>
  </si>
  <si>
    <t>Lil Tjay</t>
  </si>
  <si>
    <t>GIVÄ’ON</t>
  </si>
  <si>
    <t>Billy Joel</t>
  </si>
  <si>
    <t>Luke Bryan</t>
  </si>
  <si>
    <t>Muse</t>
  </si>
  <si>
    <t>Jonas Blue</t>
  </si>
  <si>
    <t>Teddy Swims</t>
  </si>
  <si>
    <t>Juanes</t>
  </si>
  <si>
    <t>Jennifer Lopez</t>
  </si>
  <si>
    <t>Cartel De Santa</t>
  </si>
  <si>
    <t>T.I.</t>
  </si>
  <si>
    <t>Gabito Ballesteros</t>
  </si>
  <si>
    <t>El Alfa</t>
  </si>
  <si>
    <t>Dominican Republic</t>
  </si>
  <si>
    <t>Alka Yagnik</t>
  </si>
  <si>
    <t>Blessd</t>
  </si>
  <si>
    <t>NATTI NATASHA</t>
  </si>
  <si>
    <t>Bruce Springsteen</t>
  </si>
  <si>
    <t>Alfredo Olivas</t>
  </si>
  <si>
    <t>Jonas Brothers</t>
  </si>
  <si>
    <t>Hans Zimmer</t>
  </si>
  <si>
    <t>Julia Michaels</t>
  </si>
  <si>
    <t>Deftones</t>
  </si>
  <si>
    <t>Clairo</t>
  </si>
  <si>
    <t>Whitney Houston</t>
  </si>
  <si>
    <t>Tove Lo</t>
  </si>
  <si>
    <t>DJ Luian</t>
  </si>
  <si>
    <t>Amy Winehouse</t>
  </si>
  <si>
    <t>Soul</t>
  </si>
  <si>
    <t>TV Girl</t>
  </si>
  <si>
    <t>Tanishk Bagchi</t>
  </si>
  <si>
    <t>Dave</t>
  </si>
  <si>
    <t>Avril Lavigne</t>
  </si>
  <si>
    <t>Lost Frequencies</t>
  </si>
  <si>
    <t>Belgium</t>
  </si>
  <si>
    <t>Kings of Leon</t>
  </si>
  <si>
    <t>Joan Sebastian</t>
  </si>
  <si>
    <t>Alejandro FernÃ¡ndez</t>
  </si>
  <si>
    <t>Glass Animals</t>
  </si>
  <si>
    <t>Sachin-Jigar</t>
  </si>
  <si>
    <t>Fetty Wap</t>
  </si>
  <si>
    <t>NAV</t>
  </si>
  <si>
    <t>Jack Johnson</t>
  </si>
  <si>
    <t>SEVENTEEN</t>
  </si>
  <si>
    <t>The Script</t>
  </si>
  <si>
    <t>TINI</t>
  </si>
  <si>
    <t>Backstreet Boys</t>
  </si>
  <si>
    <t>Jimin</t>
  </si>
  <si>
    <t>Mambo Kingz</t>
  </si>
  <si>
    <t>NLE Choppa</t>
  </si>
  <si>
    <t>GIMS</t>
  </si>
  <si>
    <t>DR Congo</t>
  </si>
  <si>
    <t>Calibre 50</t>
  </si>
  <si>
    <t>Chappell Roan</t>
  </si>
  <si>
    <t>Stevie Wonder</t>
  </si>
  <si>
    <t>Juicy J</t>
  </si>
  <si>
    <t>Mark Ronson</t>
  </si>
  <si>
    <t>Kelly Clarkson</t>
  </si>
  <si>
    <t>The Offspring</t>
  </si>
  <si>
    <t>Bonez MC</t>
  </si>
  <si>
    <t>Bibi Blocksberg</t>
  </si>
  <si>
    <t>Children's Music</t>
  </si>
  <si>
    <t>Milo j</t>
  </si>
  <si>
    <t>Jay Wheeler</t>
  </si>
  <si>
    <t>felix jaehn</t>
  </si>
  <si>
    <t>Niall Horan</t>
  </si>
  <si>
    <t>6ix9ine</t>
  </si>
  <si>
    <t>Nate Dogg</t>
  </si>
  <si>
    <t>Noriel</t>
  </si>
  <si>
    <t>Vicente FernÃ¡ndez</t>
  </si>
  <si>
    <t>Three Days Grace</t>
  </si>
  <si>
    <t>Aerosmith</t>
  </si>
  <si>
    <t>Bee Gees</t>
  </si>
  <si>
    <t>Udit Narayan</t>
  </si>
  <si>
    <t>Nepal</t>
  </si>
  <si>
    <t>Piso 21</t>
  </si>
  <si>
    <t>Rod Wave</t>
  </si>
  <si>
    <t>Vance Joy</t>
  </si>
  <si>
    <t>Bon Iver</t>
  </si>
  <si>
    <t>Eslabon Armado</t>
  </si>
  <si>
    <t>JENNIE</t>
  </si>
  <si>
    <t>Russ</t>
  </si>
  <si>
    <t>Rae Sremmurd</t>
  </si>
  <si>
    <t>Jess Glynne</t>
  </si>
  <si>
    <t>The Smiths</t>
  </si>
  <si>
    <t>Eagles</t>
  </si>
  <si>
    <t>The Police</t>
  </si>
  <si>
    <t>Phil Collins</t>
  </si>
  <si>
    <t>The Strokes</t>
  </si>
  <si>
    <t>Atif Aslam</t>
  </si>
  <si>
    <t>Pakistan</t>
  </si>
  <si>
    <t>Urdu</t>
  </si>
  <si>
    <t>Ovy On The Drums</t>
  </si>
  <si>
    <t>Olivia Dean</t>
  </si>
  <si>
    <t>Dire Straits</t>
  </si>
  <si>
    <t>NewJeans</t>
  </si>
  <si>
    <t>Avenged Sevenfold</t>
  </si>
  <si>
    <t>Ricardo Arjona</t>
  </si>
  <si>
    <t>Guatemala</t>
  </si>
  <si>
    <t>Los Ãngeles Azules</t>
  </si>
  <si>
    <t>Rex Orange County</t>
  </si>
  <si>
    <t>ScHoolboy Q</t>
  </si>
  <si>
    <t>6LACK</t>
  </si>
  <si>
    <t>Disclosure</t>
  </si>
  <si>
    <t>Brytiago</t>
  </si>
  <si>
    <t>Alesso</t>
  </si>
  <si>
    <t>RAF Camora</t>
  </si>
  <si>
    <t>Austria</t>
  </si>
  <si>
    <t>Nelly</t>
  </si>
  <si>
    <t>Mumford &amp; Sons</t>
  </si>
  <si>
    <t>Kumaar</t>
  </si>
  <si>
    <t>Pearl Jam</t>
  </si>
  <si>
    <t>Zion</t>
  </si>
  <si>
    <t>Ryan Castro</t>
  </si>
  <si>
    <t>Nelly Furtado</t>
  </si>
  <si>
    <t>Wesley SafadÃ£o</t>
  </si>
  <si>
    <t>Disturbed</t>
  </si>
  <si>
    <t>H.E.R.</t>
  </si>
  <si>
    <t>Rita Ora</t>
  </si>
  <si>
    <t>Kevin Gates</t>
  </si>
  <si>
    <t>beabadoobee</t>
  </si>
  <si>
    <t>Philippines</t>
  </si>
  <si>
    <t>Karan Aujla</t>
  </si>
  <si>
    <t>Punjabi</t>
  </si>
  <si>
    <t>CÃ©line Dion</t>
  </si>
  <si>
    <t>Bryan Adams</t>
  </si>
  <si>
    <t>ENHYPEN</t>
  </si>
  <si>
    <t>Dominic Fike</t>
  </si>
  <si>
    <t>Ana Castela</t>
  </si>
  <si>
    <t>LANY</t>
  </si>
  <si>
    <t>Johnny Cash</t>
  </si>
  <si>
    <t>B.o.B</t>
  </si>
  <si>
    <t>Jason Aldean</t>
  </si>
  <si>
    <t>Luan Santana</t>
  </si>
  <si>
    <t>KHEA</t>
  </si>
  <si>
    <t>Maiara &amp; Maraisa</t>
  </si>
  <si>
    <t>Mc IG</t>
  </si>
  <si>
    <t>Tiago PZK</t>
  </si>
  <si>
    <t>Tom Odell</t>
  </si>
  <si>
    <t>Macklemore &amp; Ryan Lewis</t>
  </si>
  <si>
    <t>Thomas Rhett</t>
  </si>
  <si>
    <t>MÃ˜</t>
  </si>
  <si>
    <t>Denmark</t>
  </si>
  <si>
    <t>Five Finger Death Punch</t>
  </si>
  <si>
    <t>Kane Brown</t>
  </si>
  <si>
    <t>Laufey</t>
  </si>
  <si>
    <t>Iceland</t>
  </si>
  <si>
    <t>Grupo Menos Ã‰ Mais</t>
  </si>
  <si>
    <t>Nicki Nicole</t>
  </si>
  <si>
    <t>Moneybagg Yo</t>
  </si>
  <si>
    <t>Magenta</t>
  </si>
  <si>
    <t>Ryan Lewis</t>
  </si>
  <si>
    <t>Morad</t>
  </si>
  <si>
    <t>Calum Scott</t>
  </si>
  <si>
    <t>TOMORROW X TOGETHER</t>
  </si>
  <si>
    <t>Grupo Marca Registrada</t>
  </si>
  <si>
    <t>benny blanco</t>
  </si>
  <si>
    <t>JID</t>
  </si>
  <si>
    <t>YNW Melly</t>
  </si>
  <si>
    <t>Juan Gabriel</t>
  </si>
  <si>
    <t>Los Temerarios</t>
  </si>
  <si>
    <t>Jason Mraz</t>
  </si>
  <si>
    <t>The Cure</t>
  </si>
  <si>
    <t>The MarÃ­as</t>
  </si>
  <si>
    <t>Limp Bizkit</t>
  </si>
  <si>
    <t>Nu Metal</t>
  </si>
  <si>
    <t>Korn</t>
  </si>
  <si>
    <t>Omar Courtz</t>
  </si>
  <si>
    <t>Gender</t>
  </si>
  <si>
    <t>Total Streams</t>
  </si>
  <si>
    <t>Sum of Total Streams (in millions)</t>
  </si>
  <si>
    <t>Average % of Collaborative Streams</t>
  </si>
  <si>
    <t>Sum of Collaborative Streams (in millions)</t>
  </si>
  <si>
    <t>Average of Collaborative Streams (in millions)</t>
  </si>
  <si>
    <t>Count of Distinct Artists</t>
  </si>
  <si>
    <t>Count of Artist Name</t>
  </si>
  <si>
    <t>Average Debut Year</t>
  </si>
  <si>
    <t>Average of Debut Year</t>
  </si>
  <si>
    <t>Row Labels</t>
  </si>
  <si>
    <t>Grand Total</t>
  </si>
  <si>
    <t>total stream by primary gener</t>
  </si>
  <si>
    <t>artis by country</t>
  </si>
  <si>
    <t>debut year by artist</t>
  </si>
  <si>
    <t>artist by feature stream</t>
  </si>
  <si>
    <t>Sum of Feature Streams (in millions)</t>
  </si>
  <si>
    <t>colle by lang</t>
  </si>
  <si>
    <t>Total Stream</t>
  </si>
  <si>
    <t>Avg. Collaborative</t>
  </si>
  <si>
    <t>Artist</t>
  </si>
  <si>
    <t>Avg. Debut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</si>
</sst>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xf numFmtId="0" fontId="0" fillId="0" borderId="0" xfId="0" pivotButton="1"/>
    <xf numFmtId="1" fontId="0" fillId="0" borderId="0" xfId="0" applyNumberFormat="1"/>
    <xf numFmtId="0" fontId="0" fillId="0" borderId="0" xfId="0" applyAlignment="1">
      <alignment horizontal="left"/>
    </xf>
    <xf numFmtId="0" fontId="0" fillId="33" borderId="0" xfId="0" applyFill="1"/>
    <xf numFmtId="0" fontId="0" fillId="34" borderId="0" xfId="0" applyFill="1"/>
    <xf numFmtId="0" fontId="13" fillId="34" borderId="0" xfId="0" applyFont="1" applyFill="1" applyAlignment="1">
      <alignment horizontal="center"/>
    </xf>
    <xf numFmtId="0" fontId="0" fillId="34" borderId="0" xfId="0" applyFill="1" applyAlignment="1">
      <alignment horizontal="center"/>
    </xf>
    <xf numFmtId="1" fontId="13" fillId="34" borderId="0" xfId="0" applyNumberFormat="1" applyFont="1" applyFill="1" applyAlignment="1">
      <alignment horizontal="center"/>
    </xf>
    <xf numFmtId="0" fontId="18" fillId="34" borderId="0" xfId="0" applyFont="1" applyFill="1" applyAlignment="1">
      <alignment horizontal="center"/>
    </xf>
    <xf numFmtId="0" fontId="0" fillId="33" borderId="0" xfId="0" applyFill="1" applyAlignment="1">
      <alignment horizontal="center"/>
    </xf>
    <xf numFmtId="1" fontId="19" fillId="34" borderId="0" xfId="0" applyNumberFormat="1"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dxf>
    <dxf>
      <fill>
        <patternFill>
          <bgColor theme="1" tint="0.34998626667073579"/>
        </patternFill>
      </fill>
    </dxf>
    <dxf>
      <fill>
        <patternFill>
          <bgColor theme="1" tint="0.34998626667073579"/>
        </patternFill>
      </fill>
    </dxf>
    <dxf>
      <fill>
        <patternFill>
          <bgColor theme="0"/>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1" tint="0.34998626667073579"/>
      </font>
      <fill>
        <patternFill>
          <fgColor theme="1" tint="0.34998626667073579"/>
          <bgColor theme="9" tint="-0.24994659260841701"/>
        </patternFill>
      </fill>
    </dxf>
    <dxf>
      <font>
        <color theme="0"/>
      </font>
    </dxf>
    <dxf>
      <font>
        <color theme="1" tint="0.34998626667073579"/>
      </font>
    </dxf>
  </dxfs>
  <tableStyles count="6" defaultTableStyle="TableStyleMedium2" defaultPivotStyle="PivotStyleLight16">
    <tableStyle name="Slicer Style 1" pivot="0" table="0" count="3" xr9:uid="{C606A5F8-E110-4C70-9BF0-05ED9558E61A}">
      <tableStyleElement type="wholeTable" dxfId="29"/>
      <tableStyleElement type="headerRow" dxfId="28"/>
    </tableStyle>
    <tableStyle name="Slicer Style 2" pivot="0" table="0" count="1" xr9:uid="{A32078E7-E97D-4A6B-B9FC-7AD6BF7EC68E}">
      <tableStyleElement type="wholeTable" dxfId="27"/>
    </tableStyle>
    <tableStyle name="Slicer Style 3" pivot="0" table="0" count="3" xr9:uid="{E0780186-7816-45D8-8F2A-19C1111D5176}">
      <tableStyleElement type="wholeTable" dxfId="26"/>
      <tableStyleElement type="headerRow" dxfId="25"/>
    </tableStyle>
    <tableStyle name="Slicer Style 4" pivot="0" table="0" count="3" xr9:uid="{6E0D8856-9D64-4D87-96EB-114EA3EF3433}">
      <tableStyleElement type="wholeTable" dxfId="24"/>
      <tableStyleElement type="headerRow" dxfId="23"/>
    </tableStyle>
    <tableStyle name="Slicer Style 5" pivot="0" table="0" count="2" xr9:uid="{43E6E14A-677F-4166-A820-16E14F531D4B}">
      <tableStyleElement type="wholeTable" dxfId="22"/>
    </tableStyle>
    <tableStyle name="Slicer Style 6" pivot="0" table="0" count="3" xr9:uid="{34913578-37B7-4F49-A8E4-0F2A5C1A54B0}">
      <tableStyleElement type="wholeTable" dxfId="21"/>
      <tableStyleElement type="headerRow" dxfId="20"/>
    </tableStyle>
  </tableStyles>
  <extLst>
    <ext xmlns:x14="http://schemas.microsoft.com/office/spreadsheetml/2009/9/main" uri="{46F421CA-312F-682f-3DD2-61675219B42D}">
      <x14:dxfs count="5">
        <dxf>
          <font>
            <color theme="0"/>
          </font>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ont>
            <color theme="9"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s>
        </x14:slicerStyle>
        <x14:slicerStyle name="Slicer Style 5">
          <x14:slicerStyleElements>
            <x14:slicerStyleElement type="unselectedItemWithData" dxfId="1"/>
          </x14:slicerStyleElements>
        </x14:slicerStyle>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microsoft.com/office/2007/relationships/slicerCache" Target="slicerCaches/slicerCache4.xml"/><Relationship Id="rId5" Type="http://schemas.openxmlformats.org/officeDocument/2006/relationships/chartsheet" Target="chartsheets/sheet1.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Dashboard.xlsx]chart!PivotTable5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stream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chart!$A$4:$A$27</c:f>
              <c:strCache>
                <c:ptCount val="23"/>
                <c:pt idx="0">
                  <c:v>Afrobeats</c:v>
                </c:pt>
                <c:pt idx="1">
                  <c:v>Alternative</c:v>
                </c:pt>
                <c:pt idx="2">
                  <c:v>Bachata</c:v>
                </c:pt>
                <c:pt idx="3">
                  <c:v>Children's Music</c:v>
                </c:pt>
                <c:pt idx="4">
                  <c:v>Country</c:v>
                </c:pt>
                <c:pt idx="5">
                  <c:v>EDM</c:v>
                </c:pt>
                <c:pt idx="6">
                  <c:v>Filmi</c:v>
                </c:pt>
                <c:pt idx="7">
                  <c:v>Folk</c:v>
                </c:pt>
                <c:pt idx="8">
                  <c:v>Hip-Hop</c:v>
                </c:pt>
                <c:pt idx="9">
                  <c:v>K-Pop</c:v>
                </c:pt>
                <c:pt idx="10">
                  <c:v>Latin</c:v>
                </c:pt>
                <c:pt idx="11">
                  <c:v>Metal</c:v>
                </c:pt>
                <c:pt idx="12">
                  <c:v>Nu Metal</c:v>
                </c:pt>
                <c:pt idx="13">
                  <c:v>Pop</c:v>
                </c:pt>
                <c:pt idx="14">
                  <c:v>R&amp;B</c:v>
                </c:pt>
                <c:pt idx="15">
                  <c:v>Reggae</c:v>
                </c:pt>
                <c:pt idx="16">
                  <c:v>Reggaeton</c:v>
                </c:pt>
                <c:pt idx="17">
                  <c:v>Regional Mexican</c:v>
                </c:pt>
                <c:pt idx="18">
                  <c:v>Rock</c:v>
                </c:pt>
                <c:pt idx="19">
                  <c:v>Sertanjeo</c:v>
                </c:pt>
                <c:pt idx="20">
                  <c:v>Soul</c:v>
                </c:pt>
                <c:pt idx="21">
                  <c:v>Soundtrack</c:v>
                </c:pt>
                <c:pt idx="22">
                  <c:v>Spoken Word</c:v>
                </c:pt>
              </c:strCache>
            </c:strRef>
          </c:cat>
          <c:val>
            <c:numRef>
              <c:f>chart!$B$4:$B$27</c:f>
              <c:numCache>
                <c:formatCode>General</c:formatCode>
                <c:ptCount val="23"/>
                <c:pt idx="0">
                  <c:v>21440</c:v>
                </c:pt>
                <c:pt idx="1">
                  <c:v>148226</c:v>
                </c:pt>
                <c:pt idx="2">
                  <c:v>40651</c:v>
                </c:pt>
                <c:pt idx="3">
                  <c:v>8316</c:v>
                </c:pt>
                <c:pt idx="4">
                  <c:v>130288</c:v>
                </c:pt>
                <c:pt idx="5">
                  <c:v>367099</c:v>
                </c:pt>
                <c:pt idx="6">
                  <c:v>151358</c:v>
                </c:pt>
                <c:pt idx="7">
                  <c:v>39366</c:v>
                </c:pt>
                <c:pt idx="8">
                  <c:v>2126059</c:v>
                </c:pt>
                <c:pt idx="9">
                  <c:v>157338</c:v>
                </c:pt>
                <c:pt idx="10">
                  <c:v>377962</c:v>
                </c:pt>
                <c:pt idx="11">
                  <c:v>73598</c:v>
                </c:pt>
                <c:pt idx="12">
                  <c:v>7019</c:v>
                </c:pt>
                <c:pt idx="13">
                  <c:v>2003603</c:v>
                </c:pt>
                <c:pt idx="14">
                  <c:v>570698</c:v>
                </c:pt>
                <c:pt idx="15">
                  <c:v>33196</c:v>
                </c:pt>
                <c:pt idx="16">
                  <c:v>888853</c:v>
                </c:pt>
                <c:pt idx="17">
                  <c:v>256012</c:v>
                </c:pt>
                <c:pt idx="18">
                  <c:v>812080</c:v>
                </c:pt>
                <c:pt idx="19">
                  <c:v>104797</c:v>
                </c:pt>
                <c:pt idx="20">
                  <c:v>25045</c:v>
                </c:pt>
                <c:pt idx="21">
                  <c:v>41191</c:v>
                </c:pt>
                <c:pt idx="22">
                  <c:v>24607</c:v>
                </c:pt>
              </c:numCache>
            </c:numRef>
          </c:val>
          <c:extLst>
            <c:ext xmlns:c16="http://schemas.microsoft.com/office/drawing/2014/chart" uri="{C3380CC4-5D6E-409C-BE32-E72D297353CC}">
              <c16:uniqueId val="{00000000-8989-40AE-8C1A-DCCBDDF0DC4A}"/>
            </c:ext>
          </c:extLst>
        </c:ser>
        <c:dLbls>
          <c:showLegendKey val="0"/>
          <c:showVal val="0"/>
          <c:showCatName val="0"/>
          <c:showSerName val="0"/>
          <c:showPercent val="0"/>
          <c:showBubbleSize val="0"/>
        </c:dLbls>
        <c:gapWidth val="150"/>
        <c:shape val="box"/>
        <c:axId val="1728588256"/>
        <c:axId val="177403984"/>
        <c:axId val="0"/>
      </c:bar3DChart>
      <c:catAx>
        <c:axId val="172858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403984"/>
        <c:crosses val="autoZero"/>
        <c:auto val="1"/>
        <c:lblAlgn val="ctr"/>
        <c:lblOffset val="100"/>
        <c:noMultiLvlLbl val="0"/>
      </c:catAx>
      <c:valAx>
        <c:axId val="1774039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58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Dashboard.xlsx]chart!PivotTable7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Debut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chart!$B$48</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chart!$A$49:$A$110</c:f>
              <c:strCache>
                <c:ptCount val="61"/>
                <c:pt idx="0">
                  <c:v>1939</c:v>
                </c:pt>
                <c:pt idx="1">
                  <c:v>1949</c:v>
                </c:pt>
                <c:pt idx="2">
                  <c:v>1954</c:v>
                </c:pt>
                <c:pt idx="3">
                  <c:v>1955</c:v>
                </c:pt>
                <c:pt idx="4">
                  <c:v>1962</c:v>
                </c:pt>
                <c:pt idx="5">
                  <c:v>1963</c:v>
                </c:pt>
                <c:pt idx="6">
                  <c:v>1964</c:v>
                </c:pt>
                <c:pt idx="7">
                  <c:v>1966</c:v>
                </c:pt>
                <c:pt idx="8">
                  <c:v>1967</c:v>
                </c:pt>
                <c:pt idx="9">
                  <c:v>1968</c:v>
                </c:pt>
                <c:pt idx="10">
                  <c:v>1969</c:v>
                </c:pt>
                <c:pt idx="11">
                  <c:v>1971</c:v>
                </c:pt>
                <c:pt idx="12">
                  <c:v>1972</c:v>
                </c:pt>
                <c:pt idx="13">
                  <c:v>1973</c:v>
                </c:pt>
                <c:pt idx="14">
                  <c:v>1975</c:v>
                </c:pt>
                <c:pt idx="15">
                  <c:v>1977</c:v>
                </c:pt>
                <c:pt idx="16">
                  <c:v>1978</c:v>
                </c:pt>
                <c:pt idx="17">
                  <c:v>1979</c:v>
                </c:pt>
                <c:pt idx="18">
                  <c:v>1980</c:v>
                </c:pt>
                <c:pt idx="19">
                  <c:v>1981</c:v>
                </c:pt>
                <c:pt idx="20">
                  <c:v>1982</c:v>
                </c:pt>
                <c:pt idx="21">
                  <c:v>1983</c:v>
                </c:pt>
                <c:pt idx="22">
                  <c:v>1984</c:v>
                </c:pt>
                <c:pt idx="23">
                  <c:v>1985</c:v>
                </c:pt>
                <c:pt idx="24">
                  <c:v>1987</c:v>
                </c:pt>
                <c:pt idx="25">
                  <c:v>1988</c:v>
                </c:pt>
                <c:pt idx="26">
                  <c:v>1989</c:v>
                </c:pt>
                <c:pt idx="27">
                  <c:v>1990</c:v>
                </c:pt>
                <c:pt idx="28">
                  <c:v>1991</c:v>
                </c:pt>
                <c:pt idx="29">
                  <c:v>1992</c:v>
                </c:pt>
                <c:pt idx="30">
                  <c:v>1993</c:v>
                </c:pt>
                <c:pt idx="31">
                  <c:v>1994</c:v>
                </c:pt>
                <c:pt idx="32">
                  <c:v>1995</c:v>
                </c:pt>
                <c:pt idx="33">
                  <c:v>1996</c:v>
                </c:pt>
                <c:pt idx="34">
                  <c:v>1997</c:v>
                </c:pt>
                <c:pt idx="35">
                  <c:v>1998</c:v>
                </c:pt>
                <c:pt idx="36">
                  <c:v>1999</c:v>
                </c:pt>
                <c:pt idx="37">
                  <c:v>2000</c:v>
                </c:pt>
                <c:pt idx="38">
                  <c:v>2001</c:v>
                </c:pt>
                <c:pt idx="39">
                  <c:v>2002</c:v>
                </c:pt>
                <c:pt idx="40">
                  <c:v>2003</c:v>
                </c:pt>
                <c:pt idx="41">
                  <c:v>2004</c:v>
                </c:pt>
                <c:pt idx="42">
                  <c:v>2005</c:v>
                </c:pt>
                <c:pt idx="43">
                  <c:v>2006</c:v>
                </c:pt>
                <c:pt idx="44">
                  <c:v>2007</c:v>
                </c:pt>
                <c:pt idx="45">
                  <c:v>2008</c:v>
                </c:pt>
                <c:pt idx="46">
                  <c:v>2009</c:v>
                </c:pt>
                <c:pt idx="47">
                  <c:v>2010</c:v>
                </c:pt>
                <c:pt idx="48">
                  <c:v>2011</c:v>
                </c:pt>
                <c:pt idx="49">
                  <c:v>2012</c:v>
                </c:pt>
                <c:pt idx="50">
                  <c:v>2013</c:v>
                </c:pt>
                <c:pt idx="51">
                  <c:v>2014</c:v>
                </c:pt>
                <c:pt idx="52">
                  <c:v>2015</c:v>
                </c:pt>
                <c:pt idx="53">
                  <c:v>2016</c:v>
                </c:pt>
                <c:pt idx="54">
                  <c:v>2017</c:v>
                </c:pt>
                <c:pt idx="55">
                  <c:v>2018</c:v>
                </c:pt>
                <c:pt idx="56">
                  <c:v>2019</c:v>
                </c:pt>
                <c:pt idx="57">
                  <c:v>2020</c:v>
                </c:pt>
                <c:pt idx="58">
                  <c:v>2021</c:v>
                </c:pt>
                <c:pt idx="59">
                  <c:v>2022</c:v>
                </c:pt>
                <c:pt idx="60">
                  <c:v>2023</c:v>
                </c:pt>
              </c:strCache>
            </c:strRef>
          </c:cat>
          <c:val>
            <c:numRef>
              <c:f>chart!$B$49:$B$110</c:f>
              <c:numCache>
                <c:formatCode>General</c:formatCode>
                <c:ptCount val="61"/>
                <c:pt idx="0">
                  <c:v>1</c:v>
                </c:pt>
                <c:pt idx="1">
                  <c:v>1</c:v>
                </c:pt>
                <c:pt idx="2">
                  <c:v>1</c:v>
                </c:pt>
                <c:pt idx="3">
                  <c:v>1</c:v>
                </c:pt>
                <c:pt idx="4">
                  <c:v>3</c:v>
                </c:pt>
                <c:pt idx="5">
                  <c:v>1</c:v>
                </c:pt>
                <c:pt idx="6">
                  <c:v>2</c:v>
                </c:pt>
                <c:pt idx="7">
                  <c:v>1</c:v>
                </c:pt>
                <c:pt idx="8">
                  <c:v>3</c:v>
                </c:pt>
                <c:pt idx="9">
                  <c:v>1</c:v>
                </c:pt>
                <c:pt idx="10">
                  <c:v>2</c:v>
                </c:pt>
                <c:pt idx="11">
                  <c:v>2</c:v>
                </c:pt>
                <c:pt idx="12">
                  <c:v>2</c:v>
                </c:pt>
                <c:pt idx="13">
                  <c:v>3</c:v>
                </c:pt>
                <c:pt idx="14">
                  <c:v>2</c:v>
                </c:pt>
                <c:pt idx="15">
                  <c:v>3</c:v>
                </c:pt>
                <c:pt idx="16">
                  <c:v>1</c:v>
                </c:pt>
                <c:pt idx="17">
                  <c:v>3</c:v>
                </c:pt>
                <c:pt idx="18">
                  <c:v>4</c:v>
                </c:pt>
                <c:pt idx="19">
                  <c:v>2</c:v>
                </c:pt>
                <c:pt idx="20">
                  <c:v>3</c:v>
                </c:pt>
                <c:pt idx="21">
                  <c:v>2</c:v>
                </c:pt>
                <c:pt idx="22">
                  <c:v>3</c:v>
                </c:pt>
                <c:pt idx="23">
                  <c:v>3</c:v>
                </c:pt>
                <c:pt idx="24">
                  <c:v>1</c:v>
                </c:pt>
                <c:pt idx="25">
                  <c:v>2</c:v>
                </c:pt>
                <c:pt idx="26">
                  <c:v>3</c:v>
                </c:pt>
                <c:pt idx="27">
                  <c:v>3</c:v>
                </c:pt>
                <c:pt idx="28">
                  <c:v>5</c:v>
                </c:pt>
                <c:pt idx="29">
                  <c:v>4</c:v>
                </c:pt>
                <c:pt idx="30">
                  <c:v>2</c:v>
                </c:pt>
                <c:pt idx="31">
                  <c:v>6</c:v>
                </c:pt>
                <c:pt idx="32">
                  <c:v>5</c:v>
                </c:pt>
                <c:pt idx="33">
                  <c:v>6</c:v>
                </c:pt>
                <c:pt idx="34">
                  <c:v>6</c:v>
                </c:pt>
                <c:pt idx="35">
                  <c:v>5</c:v>
                </c:pt>
                <c:pt idx="36">
                  <c:v>10</c:v>
                </c:pt>
                <c:pt idx="37">
                  <c:v>8</c:v>
                </c:pt>
                <c:pt idx="38">
                  <c:v>9</c:v>
                </c:pt>
                <c:pt idx="39">
                  <c:v>12</c:v>
                </c:pt>
                <c:pt idx="40">
                  <c:v>12</c:v>
                </c:pt>
                <c:pt idx="41">
                  <c:v>13</c:v>
                </c:pt>
                <c:pt idx="42">
                  <c:v>9</c:v>
                </c:pt>
                <c:pt idx="43">
                  <c:v>21</c:v>
                </c:pt>
                <c:pt idx="44">
                  <c:v>18</c:v>
                </c:pt>
                <c:pt idx="45">
                  <c:v>20</c:v>
                </c:pt>
                <c:pt idx="46">
                  <c:v>24</c:v>
                </c:pt>
                <c:pt idx="47">
                  <c:v>28</c:v>
                </c:pt>
                <c:pt idx="48">
                  <c:v>22</c:v>
                </c:pt>
                <c:pt idx="49">
                  <c:v>27</c:v>
                </c:pt>
                <c:pt idx="50">
                  <c:v>24</c:v>
                </c:pt>
                <c:pt idx="51">
                  <c:v>32</c:v>
                </c:pt>
                <c:pt idx="52">
                  <c:v>29</c:v>
                </c:pt>
                <c:pt idx="53">
                  <c:v>17</c:v>
                </c:pt>
                <c:pt idx="54">
                  <c:v>28</c:v>
                </c:pt>
                <c:pt idx="55">
                  <c:v>14</c:v>
                </c:pt>
                <c:pt idx="56">
                  <c:v>11</c:v>
                </c:pt>
                <c:pt idx="57">
                  <c:v>6</c:v>
                </c:pt>
                <c:pt idx="58">
                  <c:v>4</c:v>
                </c:pt>
                <c:pt idx="59">
                  <c:v>2</c:v>
                </c:pt>
                <c:pt idx="60">
                  <c:v>2</c:v>
                </c:pt>
              </c:numCache>
            </c:numRef>
          </c:val>
          <c:smooth val="0"/>
          <c:extLst>
            <c:ext xmlns:c16="http://schemas.microsoft.com/office/drawing/2014/chart" uri="{C3380CC4-5D6E-409C-BE32-E72D297353CC}">
              <c16:uniqueId val="{00000000-CA74-4577-8F18-B434CF360B8C}"/>
            </c:ext>
          </c:extLst>
        </c:ser>
        <c:dLbls>
          <c:showLegendKey val="0"/>
          <c:showVal val="0"/>
          <c:showCatName val="0"/>
          <c:showSerName val="0"/>
          <c:showPercent val="0"/>
          <c:showBubbleSize val="0"/>
        </c:dLbls>
        <c:marker val="1"/>
        <c:smooth val="0"/>
        <c:axId val="213968016"/>
        <c:axId val="1973357744"/>
      </c:lineChart>
      <c:catAx>
        <c:axId val="2139680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3357744"/>
        <c:crosses val="autoZero"/>
        <c:auto val="1"/>
        <c:lblAlgn val="ctr"/>
        <c:lblOffset val="100"/>
        <c:noMultiLvlLbl val="0"/>
      </c:catAx>
      <c:valAx>
        <c:axId val="1973357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396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Dashboard.xlsx]chart!PivotTable8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chart!$B$113</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3A5-4365-85D0-F685C816EA9A}"/>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3A5-4365-85D0-F685C816EA9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chart!$A$114:$A$116</c:f>
              <c:strCache>
                <c:ptCount val="2"/>
                <c:pt idx="0">
                  <c:v>Group</c:v>
                </c:pt>
                <c:pt idx="1">
                  <c:v>Solo</c:v>
                </c:pt>
              </c:strCache>
            </c:strRef>
          </c:cat>
          <c:val>
            <c:numRef>
              <c:f>chart!$B$114:$B$116</c:f>
              <c:numCache>
                <c:formatCode>General</c:formatCode>
                <c:ptCount val="2"/>
                <c:pt idx="0">
                  <c:v>244472</c:v>
                </c:pt>
                <c:pt idx="1">
                  <c:v>2096168</c:v>
                </c:pt>
              </c:numCache>
            </c:numRef>
          </c:val>
          <c:extLst>
            <c:ext xmlns:c16="http://schemas.microsoft.com/office/drawing/2014/chart" uri="{C3380CC4-5D6E-409C-BE32-E72D297353CC}">
              <c16:uniqueId val="{00000000-7722-4068-8104-589C83AA91AB}"/>
            </c:ext>
          </c:extLst>
        </c:ser>
        <c:dLbls>
          <c:dLblPos val="ctr"/>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Artist's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chart!$A$38:$A$40</c:f>
              <c:strCache>
                <c:ptCount val="3"/>
                <c:pt idx="0">
                  <c:v>Male</c:v>
                </c:pt>
                <c:pt idx="1">
                  <c:v>Female</c:v>
                </c:pt>
                <c:pt idx="2">
                  <c:v>Mixed</c:v>
                </c:pt>
              </c:strCache>
            </c:strRef>
          </c:cat>
          <c:val>
            <c:numRef>
              <c:f>chart!$B$38:$B$40</c:f>
              <c:numCache>
                <c:formatCode>General</c:formatCode>
                <c:ptCount val="3"/>
                <c:pt idx="0">
                  <c:v>390</c:v>
                </c:pt>
                <c:pt idx="1">
                  <c:v>88</c:v>
                </c:pt>
                <c:pt idx="2">
                  <c:v>22</c:v>
                </c:pt>
              </c:numCache>
            </c:numRef>
          </c:val>
          <c:extLst>
            <c:ext xmlns:c16="http://schemas.microsoft.com/office/drawing/2014/chart" uri="{C3380CC4-5D6E-409C-BE32-E72D297353CC}">
              <c16:uniqueId val="{00000000-195D-49CA-8467-E4D75DF50D06}"/>
            </c:ext>
          </c:extLst>
        </c:ser>
        <c:dLbls>
          <c:showLegendKey val="0"/>
          <c:showVal val="1"/>
          <c:showCatName val="0"/>
          <c:showSerName val="0"/>
          <c:showPercent val="0"/>
          <c:showBubbleSize val="0"/>
        </c:dLbls>
        <c:gapWidth val="150"/>
        <c:shape val="box"/>
        <c:axId val="214031584"/>
        <c:axId val="1973412944"/>
        <c:axId val="0"/>
      </c:bar3DChart>
      <c:catAx>
        <c:axId val="21403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412944"/>
        <c:crosses val="autoZero"/>
        <c:auto val="1"/>
        <c:lblAlgn val="ctr"/>
        <c:lblOffset val="100"/>
        <c:noMultiLvlLbl val="0"/>
      </c:catAx>
      <c:valAx>
        <c:axId val="197341294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3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Dashboard.xlsx]chart!PivotTable13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Collaborative</a:t>
            </a:r>
            <a:r>
              <a:rPr lang="en-US" baseline="0"/>
              <a:t> Streams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chart!$B$128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chart!$A$129:$A$140</c:f>
              <c:strCache>
                <c:ptCount val="11"/>
                <c:pt idx="0">
                  <c:v>English</c:v>
                </c:pt>
                <c:pt idx="1">
                  <c:v>French</c:v>
                </c:pt>
                <c:pt idx="2">
                  <c:v>German</c:v>
                </c:pt>
                <c:pt idx="3">
                  <c:v>Hindi</c:v>
                </c:pt>
                <c:pt idx="4">
                  <c:v>Italian</c:v>
                </c:pt>
                <c:pt idx="5">
                  <c:v>Korean</c:v>
                </c:pt>
                <c:pt idx="6">
                  <c:v>Portuguese</c:v>
                </c:pt>
                <c:pt idx="7">
                  <c:v>Punjabi</c:v>
                </c:pt>
                <c:pt idx="8">
                  <c:v>Spanish</c:v>
                </c:pt>
                <c:pt idx="9">
                  <c:v>Tamil</c:v>
                </c:pt>
                <c:pt idx="10">
                  <c:v>Urdu</c:v>
                </c:pt>
              </c:strCache>
            </c:strRef>
          </c:cat>
          <c:val>
            <c:numRef>
              <c:f>chart!$B$129:$B$140</c:f>
              <c:numCache>
                <c:formatCode>General</c:formatCode>
                <c:ptCount val="11"/>
                <c:pt idx="0">
                  <c:v>2722703</c:v>
                </c:pt>
                <c:pt idx="1">
                  <c:v>17658</c:v>
                </c:pt>
                <c:pt idx="2">
                  <c:v>29604</c:v>
                </c:pt>
                <c:pt idx="3">
                  <c:v>151112</c:v>
                </c:pt>
                <c:pt idx="4">
                  <c:v>14826</c:v>
                </c:pt>
                <c:pt idx="5">
                  <c:v>28333</c:v>
                </c:pt>
                <c:pt idx="6">
                  <c:v>89466</c:v>
                </c:pt>
                <c:pt idx="7">
                  <c:v>6013</c:v>
                </c:pt>
                <c:pt idx="8">
                  <c:v>1151681</c:v>
                </c:pt>
                <c:pt idx="9">
                  <c:v>28000</c:v>
                </c:pt>
                <c:pt idx="10">
                  <c:v>7212</c:v>
                </c:pt>
              </c:numCache>
            </c:numRef>
          </c:val>
          <c:extLst>
            <c:ext xmlns:c16="http://schemas.microsoft.com/office/drawing/2014/chart" uri="{C3380CC4-5D6E-409C-BE32-E72D297353CC}">
              <c16:uniqueId val="{00000000-FCF8-4CB1-835D-909A39D688D9}"/>
            </c:ext>
          </c:extLst>
        </c:ser>
        <c:dLbls>
          <c:showLegendKey val="0"/>
          <c:showVal val="0"/>
          <c:showCatName val="0"/>
          <c:showSerName val="0"/>
          <c:showPercent val="0"/>
          <c:showBubbleSize val="0"/>
        </c:dLbls>
        <c:gapWidth val="150"/>
        <c:overlap val="100"/>
        <c:axId val="213929040"/>
        <c:axId val="1973357264"/>
      </c:barChart>
      <c:catAx>
        <c:axId val="21392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357264"/>
        <c:crosses val="autoZero"/>
        <c:auto val="1"/>
        <c:lblAlgn val="ctr"/>
        <c:lblOffset val="100"/>
        <c:noMultiLvlLbl val="0"/>
      </c:catAx>
      <c:valAx>
        <c:axId val="19733572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2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728478288"/>
        <c:axId val="67910800"/>
      </c:barChart>
      <c:catAx>
        <c:axId val="172847828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10800"/>
        <c:crosses val="autoZero"/>
        <c:auto val="1"/>
        <c:lblAlgn val="ctr"/>
        <c:lblOffset val="100"/>
        <c:noMultiLvlLbl val="0"/>
      </c:catAx>
      <c:valAx>
        <c:axId val="6791080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47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Dashboard.xlsx]chart!PivotTable13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Collaborative</a:t>
            </a:r>
            <a:r>
              <a:rPr lang="en-US" baseline="0"/>
              <a:t> Streams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chart!$B$128</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chart!$A$129:$A$140</c:f>
              <c:strCache>
                <c:ptCount val="11"/>
                <c:pt idx="0">
                  <c:v>English</c:v>
                </c:pt>
                <c:pt idx="1">
                  <c:v>French</c:v>
                </c:pt>
                <c:pt idx="2">
                  <c:v>German</c:v>
                </c:pt>
                <c:pt idx="3">
                  <c:v>Hindi</c:v>
                </c:pt>
                <c:pt idx="4">
                  <c:v>Italian</c:v>
                </c:pt>
                <c:pt idx="5">
                  <c:v>Korean</c:v>
                </c:pt>
                <c:pt idx="6">
                  <c:v>Portuguese</c:v>
                </c:pt>
                <c:pt idx="7">
                  <c:v>Punjabi</c:v>
                </c:pt>
                <c:pt idx="8">
                  <c:v>Spanish</c:v>
                </c:pt>
                <c:pt idx="9">
                  <c:v>Tamil</c:v>
                </c:pt>
                <c:pt idx="10">
                  <c:v>Urdu</c:v>
                </c:pt>
              </c:strCache>
            </c:strRef>
          </c:cat>
          <c:val>
            <c:numRef>
              <c:f>chart!$B$129:$B$140</c:f>
              <c:numCache>
                <c:formatCode>General</c:formatCode>
                <c:ptCount val="11"/>
                <c:pt idx="0">
                  <c:v>2722703</c:v>
                </c:pt>
                <c:pt idx="1">
                  <c:v>17658</c:v>
                </c:pt>
                <c:pt idx="2">
                  <c:v>29604</c:v>
                </c:pt>
                <c:pt idx="3">
                  <c:v>151112</c:v>
                </c:pt>
                <c:pt idx="4">
                  <c:v>14826</c:v>
                </c:pt>
                <c:pt idx="5">
                  <c:v>28333</c:v>
                </c:pt>
                <c:pt idx="6">
                  <c:v>89466</c:v>
                </c:pt>
                <c:pt idx="7">
                  <c:v>6013</c:v>
                </c:pt>
                <c:pt idx="8">
                  <c:v>1151681</c:v>
                </c:pt>
                <c:pt idx="9">
                  <c:v>28000</c:v>
                </c:pt>
                <c:pt idx="10">
                  <c:v>7212</c:v>
                </c:pt>
              </c:numCache>
            </c:numRef>
          </c:val>
          <c:extLst>
            <c:ext xmlns:c16="http://schemas.microsoft.com/office/drawing/2014/chart" uri="{C3380CC4-5D6E-409C-BE32-E72D297353CC}">
              <c16:uniqueId val="{00000000-00AB-49B8-BB66-8D902CC982DB}"/>
            </c:ext>
          </c:extLst>
        </c:ser>
        <c:dLbls>
          <c:showLegendKey val="0"/>
          <c:showVal val="0"/>
          <c:showCatName val="0"/>
          <c:showSerName val="0"/>
          <c:showPercent val="0"/>
          <c:showBubbleSize val="0"/>
        </c:dLbls>
        <c:gapWidth val="150"/>
        <c:overlap val="100"/>
        <c:axId val="213929040"/>
        <c:axId val="1973357264"/>
      </c:barChart>
      <c:catAx>
        <c:axId val="21392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357264"/>
        <c:crosses val="autoZero"/>
        <c:auto val="1"/>
        <c:lblAlgn val="ctr"/>
        <c:lblOffset val="100"/>
        <c:noMultiLvlLbl val="0"/>
      </c:catAx>
      <c:valAx>
        <c:axId val="19733572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2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Dashboard.xlsx]chart!PivotTable8</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chart!$B$113</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E98-4EBF-A987-2097E6620821}"/>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E98-4EBF-A987-2097E662082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chart!$A$114:$A$116</c:f>
              <c:strCache>
                <c:ptCount val="2"/>
                <c:pt idx="0">
                  <c:v>Group</c:v>
                </c:pt>
                <c:pt idx="1">
                  <c:v>Solo</c:v>
                </c:pt>
              </c:strCache>
            </c:strRef>
          </c:cat>
          <c:val>
            <c:numRef>
              <c:f>chart!$B$114:$B$116</c:f>
              <c:numCache>
                <c:formatCode>General</c:formatCode>
                <c:ptCount val="2"/>
                <c:pt idx="0">
                  <c:v>244472</c:v>
                </c:pt>
                <c:pt idx="1">
                  <c:v>2096168</c:v>
                </c:pt>
              </c:numCache>
            </c:numRef>
          </c:val>
          <c:extLst>
            <c:ext xmlns:c16="http://schemas.microsoft.com/office/drawing/2014/chart" uri="{C3380CC4-5D6E-409C-BE32-E72D297353CC}">
              <c16:uniqueId val="{00000004-6E98-4EBF-A987-2097E6620821}"/>
            </c:ext>
          </c:extLst>
        </c:ser>
        <c:dLbls>
          <c:dLblPos val="ctr"/>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Dashboard.xlsx]chart!PivotTable7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Debut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chart!$B$48</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chart!$A$49:$A$110</c:f>
              <c:strCache>
                <c:ptCount val="61"/>
                <c:pt idx="0">
                  <c:v>1939</c:v>
                </c:pt>
                <c:pt idx="1">
                  <c:v>1949</c:v>
                </c:pt>
                <c:pt idx="2">
                  <c:v>1954</c:v>
                </c:pt>
                <c:pt idx="3">
                  <c:v>1955</c:v>
                </c:pt>
                <c:pt idx="4">
                  <c:v>1962</c:v>
                </c:pt>
                <c:pt idx="5">
                  <c:v>1963</c:v>
                </c:pt>
                <c:pt idx="6">
                  <c:v>1964</c:v>
                </c:pt>
                <c:pt idx="7">
                  <c:v>1966</c:v>
                </c:pt>
                <c:pt idx="8">
                  <c:v>1967</c:v>
                </c:pt>
                <c:pt idx="9">
                  <c:v>1968</c:v>
                </c:pt>
                <c:pt idx="10">
                  <c:v>1969</c:v>
                </c:pt>
                <c:pt idx="11">
                  <c:v>1971</c:v>
                </c:pt>
                <c:pt idx="12">
                  <c:v>1972</c:v>
                </c:pt>
                <c:pt idx="13">
                  <c:v>1973</c:v>
                </c:pt>
                <c:pt idx="14">
                  <c:v>1975</c:v>
                </c:pt>
                <c:pt idx="15">
                  <c:v>1977</c:v>
                </c:pt>
                <c:pt idx="16">
                  <c:v>1978</c:v>
                </c:pt>
                <c:pt idx="17">
                  <c:v>1979</c:v>
                </c:pt>
                <c:pt idx="18">
                  <c:v>1980</c:v>
                </c:pt>
                <c:pt idx="19">
                  <c:v>1981</c:v>
                </c:pt>
                <c:pt idx="20">
                  <c:v>1982</c:v>
                </c:pt>
                <c:pt idx="21">
                  <c:v>1983</c:v>
                </c:pt>
                <c:pt idx="22">
                  <c:v>1984</c:v>
                </c:pt>
                <c:pt idx="23">
                  <c:v>1985</c:v>
                </c:pt>
                <c:pt idx="24">
                  <c:v>1987</c:v>
                </c:pt>
                <c:pt idx="25">
                  <c:v>1988</c:v>
                </c:pt>
                <c:pt idx="26">
                  <c:v>1989</c:v>
                </c:pt>
                <c:pt idx="27">
                  <c:v>1990</c:v>
                </c:pt>
                <c:pt idx="28">
                  <c:v>1991</c:v>
                </c:pt>
                <c:pt idx="29">
                  <c:v>1992</c:v>
                </c:pt>
                <c:pt idx="30">
                  <c:v>1993</c:v>
                </c:pt>
                <c:pt idx="31">
                  <c:v>1994</c:v>
                </c:pt>
                <c:pt idx="32">
                  <c:v>1995</c:v>
                </c:pt>
                <c:pt idx="33">
                  <c:v>1996</c:v>
                </c:pt>
                <c:pt idx="34">
                  <c:v>1997</c:v>
                </c:pt>
                <c:pt idx="35">
                  <c:v>1998</c:v>
                </c:pt>
                <c:pt idx="36">
                  <c:v>1999</c:v>
                </c:pt>
                <c:pt idx="37">
                  <c:v>2000</c:v>
                </c:pt>
                <c:pt idx="38">
                  <c:v>2001</c:v>
                </c:pt>
                <c:pt idx="39">
                  <c:v>2002</c:v>
                </c:pt>
                <c:pt idx="40">
                  <c:v>2003</c:v>
                </c:pt>
                <c:pt idx="41">
                  <c:v>2004</c:v>
                </c:pt>
                <c:pt idx="42">
                  <c:v>2005</c:v>
                </c:pt>
                <c:pt idx="43">
                  <c:v>2006</c:v>
                </c:pt>
                <c:pt idx="44">
                  <c:v>2007</c:v>
                </c:pt>
                <c:pt idx="45">
                  <c:v>2008</c:v>
                </c:pt>
                <c:pt idx="46">
                  <c:v>2009</c:v>
                </c:pt>
                <c:pt idx="47">
                  <c:v>2010</c:v>
                </c:pt>
                <c:pt idx="48">
                  <c:v>2011</c:v>
                </c:pt>
                <c:pt idx="49">
                  <c:v>2012</c:v>
                </c:pt>
                <c:pt idx="50">
                  <c:v>2013</c:v>
                </c:pt>
                <c:pt idx="51">
                  <c:v>2014</c:v>
                </c:pt>
                <c:pt idx="52">
                  <c:v>2015</c:v>
                </c:pt>
                <c:pt idx="53">
                  <c:v>2016</c:v>
                </c:pt>
                <c:pt idx="54">
                  <c:v>2017</c:v>
                </c:pt>
                <c:pt idx="55">
                  <c:v>2018</c:v>
                </c:pt>
                <c:pt idx="56">
                  <c:v>2019</c:v>
                </c:pt>
                <c:pt idx="57">
                  <c:v>2020</c:v>
                </c:pt>
                <c:pt idx="58">
                  <c:v>2021</c:v>
                </c:pt>
                <c:pt idx="59">
                  <c:v>2022</c:v>
                </c:pt>
                <c:pt idx="60">
                  <c:v>2023</c:v>
                </c:pt>
              </c:strCache>
            </c:strRef>
          </c:cat>
          <c:val>
            <c:numRef>
              <c:f>chart!$B$49:$B$110</c:f>
              <c:numCache>
                <c:formatCode>General</c:formatCode>
                <c:ptCount val="61"/>
                <c:pt idx="0">
                  <c:v>1</c:v>
                </c:pt>
                <c:pt idx="1">
                  <c:v>1</c:v>
                </c:pt>
                <c:pt idx="2">
                  <c:v>1</c:v>
                </c:pt>
                <c:pt idx="3">
                  <c:v>1</c:v>
                </c:pt>
                <c:pt idx="4">
                  <c:v>3</c:v>
                </c:pt>
                <c:pt idx="5">
                  <c:v>1</c:v>
                </c:pt>
                <c:pt idx="6">
                  <c:v>2</c:v>
                </c:pt>
                <c:pt idx="7">
                  <c:v>1</c:v>
                </c:pt>
                <c:pt idx="8">
                  <c:v>3</c:v>
                </c:pt>
                <c:pt idx="9">
                  <c:v>1</c:v>
                </c:pt>
                <c:pt idx="10">
                  <c:v>2</c:v>
                </c:pt>
                <c:pt idx="11">
                  <c:v>2</c:v>
                </c:pt>
                <c:pt idx="12">
                  <c:v>2</c:v>
                </c:pt>
                <c:pt idx="13">
                  <c:v>3</c:v>
                </c:pt>
                <c:pt idx="14">
                  <c:v>2</c:v>
                </c:pt>
                <c:pt idx="15">
                  <c:v>3</c:v>
                </c:pt>
                <c:pt idx="16">
                  <c:v>1</c:v>
                </c:pt>
                <c:pt idx="17">
                  <c:v>3</c:v>
                </c:pt>
                <c:pt idx="18">
                  <c:v>4</c:v>
                </c:pt>
                <c:pt idx="19">
                  <c:v>2</c:v>
                </c:pt>
                <c:pt idx="20">
                  <c:v>3</c:v>
                </c:pt>
                <c:pt idx="21">
                  <c:v>2</c:v>
                </c:pt>
                <c:pt idx="22">
                  <c:v>3</c:v>
                </c:pt>
                <c:pt idx="23">
                  <c:v>3</c:v>
                </c:pt>
                <c:pt idx="24">
                  <c:v>1</c:v>
                </c:pt>
                <c:pt idx="25">
                  <c:v>2</c:v>
                </c:pt>
                <c:pt idx="26">
                  <c:v>3</c:v>
                </c:pt>
                <c:pt idx="27">
                  <c:v>3</c:v>
                </c:pt>
                <c:pt idx="28">
                  <c:v>5</c:v>
                </c:pt>
                <c:pt idx="29">
                  <c:v>4</c:v>
                </c:pt>
                <c:pt idx="30">
                  <c:v>2</c:v>
                </c:pt>
                <c:pt idx="31">
                  <c:v>6</c:v>
                </c:pt>
                <c:pt idx="32">
                  <c:v>5</c:v>
                </c:pt>
                <c:pt idx="33">
                  <c:v>6</c:v>
                </c:pt>
                <c:pt idx="34">
                  <c:v>6</c:v>
                </c:pt>
                <c:pt idx="35">
                  <c:v>5</c:v>
                </c:pt>
                <c:pt idx="36">
                  <c:v>10</c:v>
                </c:pt>
                <c:pt idx="37">
                  <c:v>8</c:v>
                </c:pt>
                <c:pt idx="38">
                  <c:v>9</c:v>
                </c:pt>
                <c:pt idx="39">
                  <c:v>12</c:v>
                </c:pt>
                <c:pt idx="40">
                  <c:v>12</c:v>
                </c:pt>
                <c:pt idx="41">
                  <c:v>13</c:v>
                </c:pt>
                <c:pt idx="42">
                  <c:v>9</c:v>
                </c:pt>
                <c:pt idx="43">
                  <c:v>21</c:v>
                </c:pt>
                <c:pt idx="44">
                  <c:v>18</c:v>
                </c:pt>
                <c:pt idx="45">
                  <c:v>20</c:v>
                </c:pt>
                <c:pt idx="46">
                  <c:v>24</c:v>
                </c:pt>
                <c:pt idx="47">
                  <c:v>28</c:v>
                </c:pt>
                <c:pt idx="48">
                  <c:v>22</c:v>
                </c:pt>
                <c:pt idx="49">
                  <c:v>27</c:v>
                </c:pt>
                <c:pt idx="50">
                  <c:v>24</c:v>
                </c:pt>
                <c:pt idx="51">
                  <c:v>32</c:v>
                </c:pt>
                <c:pt idx="52">
                  <c:v>29</c:v>
                </c:pt>
                <c:pt idx="53">
                  <c:v>17</c:v>
                </c:pt>
                <c:pt idx="54">
                  <c:v>28</c:v>
                </c:pt>
                <c:pt idx="55">
                  <c:v>14</c:v>
                </c:pt>
                <c:pt idx="56">
                  <c:v>11</c:v>
                </c:pt>
                <c:pt idx="57">
                  <c:v>6</c:v>
                </c:pt>
                <c:pt idx="58">
                  <c:v>4</c:v>
                </c:pt>
                <c:pt idx="59">
                  <c:v>2</c:v>
                </c:pt>
                <c:pt idx="60">
                  <c:v>2</c:v>
                </c:pt>
              </c:numCache>
            </c:numRef>
          </c:val>
          <c:smooth val="0"/>
          <c:extLst>
            <c:ext xmlns:c16="http://schemas.microsoft.com/office/drawing/2014/chart" uri="{C3380CC4-5D6E-409C-BE32-E72D297353CC}">
              <c16:uniqueId val="{00000000-8936-4BDA-B88B-E665A993EF71}"/>
            </c:ext>
          </c:extLst>
        </c:ser>
        <c:dLbls>
          <c:showLegendKey val="0"/>
          <c:showVal val="0"/>
          <c:showCatName val="0"/>
          <c:showSerName val="0"/>
          <c:showPercent val="0"/>
          <c:showBubbleSize val="0"/>
        </c:dLbls>
        <c:marker val="1"/>
        <c:smooth val="0"/>
        <c:axId val="213968016"/>
        <c:axId val="1973357744"/>
      </c:lineChart>
      <c:catAx>
        <c:axId val="2139680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357744"/>
        <c:crosses val="autoZero"/>
        <c:auto val="1"/>
        <c:lblAlgn val="ctr"/>
        <c:lblOffset val="100"/>
        <c:noMultiLvlLbl val="0"/>
      </c:catAx>
      <c:valAx>
        <c:axId val="19733577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96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Artist's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chart!$A$38:$A$40</c:f>
              <c:strCache>
                <c:ptCount val="3"/>
                <c:pt idx="0">
                  <c:v>Male</c:v>
                </c:pt>
                <c:pt idx="1">
                  <c:v>Female</c:v>
                </c:pt>
                <c:pt idx="2">
                  <c:v>Mixed</c:v>
                </c:pt>
              </c:strCache>
            </c:strRef>
          </c:cat>
          <c:val>
            <c:numRef>
              <c:f>chart!$B$38:$B$40</c:f>
              <c:numCache>
                <c:formatCode>General</c:formatCode>
                <c:ptCount val="3"/>
                <c:pt idx="0">
                  <c:v>390</c:v>
                </c:pt>
                <c:pt idx="1">
                  <c:v>88</c:v>
                </c:pt>
                <c:pt idx="2">
                  <c:v>22</c:v>
                </c:pt>
              </c:numCache>
            </c:numRef>
          </c:val>
          <c:extLst>
            <c:ext xmlns:c16="http://schemas.microsoft.com/office/drawing/2014/chart" uri="{C3380CC4-5D6E-409C-BE32-E72D297353CC}">
              <c16:uniqueId val="{00000000-04BD-494B-B17D-508D6A48774F}"/>
            </c:ext>
          </c:extLst>
        </c:ser>
        <c:dLbls>
          <c:showLegendKey val="0"/>
          <c:showVal val="1"/>
          <c:showCatName val="0"/>
          <c:showSerName val="0"/>
          <c:showPercent val="0"/>
          <c:showBubbleSize val="0"/>
        </c:dLbls>
        <c:gapWidth val="150"/>
        <c:shape val="box"/>
        <c:axId val="214031584"/>
        <c:axId val="1973412944"/>
        <c:axId val="0"/>
      </c:bar3DChart>
      <c:catAx>
        <c:axId val="21403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3412944"/>
        <c:crosses val="autoZero"/>
        <c:auto val="1"/>
        <c:lblAlgn val="ctr"/>
        <c:lblOffset val="100"/>
        <c:noMultiLvlLbl val="0"/>
      </c:catAx>
      <c:valAx>
        <c:axId val="197341294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03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Streaming Performance Dashboard.xlsx]chart!PivotTable5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stream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chart!$A$4:$A$27</c:f>
              <c:strCache>
                <c:ptCount val="23"/>
                <c:pt idx="0">
                  <c:v>Afrobeats</c:v>
                </c:pt>
                <c:pt idx="1">
                  <c:v>Alternative</c:v>
                </c:pt>
                <c:pt idx="2">
                  <c:v>Bachata</c:v>
                </c:pt>
                <c:pt idx="3">
                  <c:v>Children's Music</c:v>
                </c:pt>
                <c:pt idx="4">
                  <c:v>Country</c:v>
                </c:pt>
                <c:pt idx="5">
                  <c:v>EDM</c:v>
                </c:pt>
                <c:pt idx="6">
                  <c:v>Filmi</c:v>
                </c:pt>
                <c:pt idx="7">
                  <c:v>Folk</c:v>
                </c:pt>
                <c:pt idx="8">
                  <c:v>Hip-Hop</c:v>
                </c:pt>
                <c:pt idx="9">
                  <c:v>K-Pop</c:v>
                </c:pt>
                <c:pt idx="10">
                  <c:v>Latin</c:v>
                </c:pt>
                <c:pt idx="11">
                  <c:v>Metal</c:v>
                </c:pt>
                <c:pt idx="12">
                  <c:v>Nu Metal</c:v>
                </c:pt>
                <c:pt idx="13">
                  <c:v>Pop</c:v>
                </c:pt>
                <c:pt idx="14">
                  <c:v>R&amp;B</c:v>
                </c:pt>
                <c:pt idx="15">
                  <c:v>Reggae</c:v>
                </c:pt>
                <c:pt idx="16">
                  <c:v>Reggaeton</c:v>
                </c:pt>
                <c:pt idx="17">
                  <c:v>Regional Mexican</c:v>
                </c:pt>
                <c:pt idx="18">
                  <c:v>Rock</c:v>
                </c:pt>
                <c:pt idx="19">
                  <c:v>Sertanjeo</c:v>
                </c:pt>
                <c:pt idx="20">
                  <c:v>Soul</c:v>
                </c:pt>
                <c:pt idx="21">
                  <c:v>Soundtrack</c:v>
                </c:pt>
                <c:pt idx="22">
                  <c:v>Spoken Word</c:v>
                </c:pt>
              </c:strCache>
            </c:strRef>
          </c:cat>
          <c:val>
            <c:numRef>
              <c:f>chart!$B$4:$B$27</c:f>
              <c:numCache>
                <c:formatCode>General</c:formatCode>
                <c:ptCount val="23"/>
                <c:pt idx="0">
                  <c:v>21440</c:v>
                </c:pt>
                <c:pt idx="1">
                  <c:v>148226</c:v>
                </c:pt>
                <c:pt idx="2">
                  <c:v>40651</c:v>
                </c:pt>
                <c:pt idx="3">
                  <c:v>8316</c:v>
                </c:pt>
                <c:pt idx="4">
                  <c:v>130288</c:v>
                </c:pt>
                <c:pt idx="5">
                  <c:v>367099</c:v>
                </c:pt>
                <c:pt idx="6">
                  <c:v>151358</c:v>
                </c:pt>
                <c:pt idx="7">
                  <c:v>39366</c:v>
                </c:pt>
                <c:pt idx="8">
                  <c:v>2126059</c:v>
                </c:pt>
                <c:pt idx="9">
                  <c:v>157338</c:v>
                </c:pt>
                <c:pt idx="10">
                  <c:v>377962</c:v>
                </c:pt>
                <c:pt idx="11">
                  <c:v>73598</c:v>
                </c:pt>
                <c:pt idx="12">
                  <c:v>7019</c:v>
                </c:pt>
                <c:pt idx="13">
                  <c:v>2003603</c:v>
                </c:pt>
                <c:pt idx="14">
                  <c:v>570698</c:v>
                </c:pt>
                <c:pt idx="15">
                  <c:v>33196</c:v>
                </c:pt>
                <c:pt idx="16">
                  <c:v>888853</c:v>
                </c:pt>
                <c:pt idx="17">
                  <c:v>256012</c:v>
                </c:pt>
                <c:pt idx="18">
                  <c:v>812080</c:v>
                </c:pt>
                <c:pt idx="19">
                  <c:v>104797</c:v>
                </c:pt>
                <c:pt idx="20">
                  <c:v>25045</c:v>
                </c:pt>
                <c:pt idx="21">
                  <c:v>41191</c:v>
                </c:pt>
                <c:pt idx="22">
                  <c:v>24607</c:v>
                </c:pt>
              </c:numCache>
            </c:numRef>
          </c:val>
          <c:extLst>
            <c:ext xmlns:c16="http://schemas.microsoft.com/office/drawing/2014/chart" uri="{C3380CC4-5D6E-409C-BE32-E72D297353CC}">
              <c16:uniqueId val="{00000000-5AE9-4F03-8AD7-44DAD9DFFE41}"/>
            </c:ext>
          </c:extLst>
        </c:ser>
        <c:dLbls>
          <c:showLegendKey val="0"/>
          <c:showVal val="0"/>
          <c:showCatName val="0"/>
          <c:showSerName val="0"/>
          <c:showPercent val="0"/>
          <c:showBubbleSize val="0"/>
        </c:dLbls>
        <c:gapWidth val="150"/>
        <c:shape val="box"/>
        <c:axId val="1728588256"/>
        <c:axId val="177403984"/>
        <c:axId val="0"/>
      </c:bar3DChart>
      <c:catAx>
        <c:axId val="1728588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403984"/>
        <c:crosses val="autoZero"/>
        <c:auto val="1"/>
        <c:lblAlgn val="ctr"/>
        <c:lblOffset val="100"/>
        <c:noMultiLvlLbl val="0"/>
      </c:catAx>
      <c:valAx>
        <c:axId val="1774039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58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C077C7-EF01-411B-AC33-55F2C6F968CE}">
  <sheetPr/>
  <sheetViews>
    <sheetView zoomScale="87"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311150</xdr:colOff>
      <xdr:row>3</xdr:row>
      <xdr:rowOff>38100</xdr:rowOff>
    </xdr:from>
    <xdr:to>
      <xdr:col>8</xdr:col>
      <xdr:colOff>311150</xdr:colOff>
      <xdr:row>16</xdr:row>
      <xdr:rowOff>168275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B735742-A431-F458-6B91-DD24B16A9E8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27500"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177800</xdr:colOff>
      <xdr:row>5</xdr:row>
      <xdr:rowOff>146050</xdr:rowOff>
    </xdr:from>
    <xdr:to>
      <xdr:col>9</xdr:col>
      <xdr:colOff>177800</xdr:colOff>
      <xdr:row>19</xdr:row>
      <xdr:rowOff>92075</xdr:rowOff>
    </xdr:to>
    <mc:AlternateContent xmlns:mc="http://schemas.openxmlformats.org/markup-compatibility/2006" xmlns:a14="http://schemas.microsoft.com/office/drawing/2010/main">
      <mc:Choice Requires="a14">
        <xdr:graphicFrame macro="">
          <xdr:nvGraphicFramePr>
            <xdr:cNvPr id="4" name="Country of Origin">
              <a:extLst>
                <a:ext uri="{FF2B5EF4-FFF2-40B4-BE49-F238E27FC236}">
                  <a16:creationId xmlns:a16="http://schemas.microsoft.com/office/drawing/2014/main" id="{92DC151D-45B7-2390-0264-48E3015AE301}"/>
                </a:ext>
              </a:extLst>
            </xdr:cNvPr>
            <xdr:cNvGraphicFramePr/>
          </xdr:nvGraphicFramePr>
          <xdr:xfrm>
            <a:off x="0" y="0"/>
            <a:ext cx="0" cy="0"/>
          </xdr:xfrm>
          <a:graphic>
            <a:graphicData uri="http://schemas.microsoft.com/office/drawing/2010/slicer">
              <sle:slicer xmlns:sle="http://schemas.microsoft.com/office/drawing/2010/slicer" name="Country of Origin"/>
            </a:graphicData>
          </a:graphic>
        </xdr:graphicFrame>
      </mc:Choice>
      <mc:Fallback xmlns="">
        <xdr:sp macro="" textlink="">
          <xdr:nvSpPr>
            <xdr:cNvPr id="0" name=""/>
            <xdr:cNvSpPr>
              <a:spLocks noTextEdit="1"/>
            </xdr:cNvSpPr>
          </xdr:nvSpPr>
          <xdr:spPr>
            <a:xfrm>
              <a:off x="4603750" y="106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44450</xdr:colOff>
      <xdr:row>8</xdr:row>
      <xdr:rowOff>69850</xdr:rowOff>
    </xdr:from>
    <xdr:to>
      <xdr:col>10</xdr:col>
      <xdr:colOff>44450</xdr:colOff>
      <xdr:row>22</xdr:row>
      <xdr:rowOff>15875</xdr:rowOff>
    </xdr:to>
    <mc:AlternateContent xmlns:mc="http://schemas.openxmlformats.org/markup-compatibility/2006" xmlns:a14="http://schemas.microsoft.com/office/drawing/2010/main">
      <mc:Choice Requires="a14">
        <xdr:graphicFrame macro="">
          <xdr:nvGraphicFramePr>
            <xdr:cNvPr id="5" name="Primary Language">
              <a:extLst>
                <a:ext uri="{FF2B5EF4-FFF2-40B4-BE49-F238E27FC236}">
                  <a16:creationId xmlns:a16="http://schemas.microsoft.com/office/drawing/2014/main" id="{129473CE-A4E0-35FF-B402-459073B62E66}"/>
                </a:ext>
              </a:extLst>
            </xdr:cNvPr>
            <xdr:cNvGraphicFramePr/>
          </xdr:nvGraphicFramePr>
          <xdr:xfrm>
            <a:off x="0" y="0"/>
            <a:ext cx="0" cy="0"/>
          </xdr:xfrm>
          <a:graphic>
            <a:graphicData uri="http://schemas.microsoft.com/office/drawing/2010/slicer">
              <sle:slicer xmlns:sle="http://schemas.microsoft.com/office/drawing/2010/slicer" name="Primary Language"/>
            </a:graphicData>
          </a:graphic>
        </xdr:graphicFrame>
      </mc:Choice>
      <mc:Fallback xmlns="">
        <xdr:sp macro="" textlink="">
          <xdr:nvSpPr>
            <xdr:cNvPr id="0" name=""/>
            <xdr:cNvSpPr>
              <a:spLocks noTextEdit="1"/>
            </xdr:cNvSpPr>
          </xdr:nvSpPr>
          <xdr:spPr>
            <a:xfrm>
              <a:off x="5080000" y="1543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520700</xdr:colOff>
      <xdr:row>10</xdr:row>
      <xdr:rowOff>177800</xdr:rowOff>
    </xdr:from>
    <xdr:to>
      <xdr:col>10</xdr:col>
      <xdr:colOff>520700</xdr:colOff>
      <xdr:row>24</xdr:row>
      <xdr:rowOff>123825</xdr:rowOff>
    </xdr:to>
    <mc:AlternateContent xmlns:mc="http://schemas.openxmlformats.org/markup-compatibility/2006" xmlns:a14="http://schemas.microsoft.com/office/drawing/2010/main">
      <mc:Choice Requires="a14">
        <xdr:graphicFrame macro="">
          <xdr:nvGraphicFramePr>
            <xdr:cNvPr id="6" name="Primary Genre">
              <a:extLst>
                <a:ext uri="{FF2B5EF4-FFF2-40B4-BE49-F238E27FC236}">
                  <a16:creationId xmlns:a16="http://schemas.microsoft.com/office/drawing/2014/main" id="{630719B3-9542-26BC-F0DA-E78BD03BD58F}"/>
                </a:ext>
              </a:extLst>
            </xdr:cNvPr>
            <xdr:cNvGraphicFramePr/>
          </xdr:nvGraphicFramePr>
          <xdr:xfrm>
            <a:off x="0" y="0"/>
            <a:ext cx="0" cy="0"/>
          </xdr:xfrm>
          <a:graphic>
            <a:graphicData uri="http://schemas.microsoft.com/office/drawing/2010/slicer">
              <sle:slicer xmlns:sle="http://schemas.microsoft.com/office/drawing/2010/slicer" name="Primary Genre"/>
            </a:graphicData>
          </a:graphic>
        </xdr:graphicFrame>
      </mc:Choice>
      <mc:Fallback xmlns="">
        <xdr:sp macro="" textlink="">
          <xdr:nvSpPr>
            <xdr:cNvPr id="0" name=""/>
            <xdr:cNvSpPr>
              <a:spLocks noTextEdit="1"/>
            </xdr:cNvSpPr>
          </xdr:nvSpPr>
          <xdr:spPr>
            <a:xfrm>
              <a:off x="5556250" y="2019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387350</xdr:colOff>
      <xdr:row>13</xdr:row>
      <xdr:rowOff>101600</xdr:rowOff>
    </xdr:from>
    <xdr:to>
      <xdr:col>11</xdr:col>
      <xdr:colOff>387350</xdr:colOff>
      <xdr:row>27</xdr:row>
      <xdr:rowOff>47625</xdr:rowOff>
    </xdr:to>
    <mc:AlternateContent xmlns:mc="http://schemas.openxmlformats.org/markup-compatibility/2006" xmlns:a14="http://schemas.microsoft.com/office/drawing/2010/main">
      <mc:Choice Requires="a14">
        <xdr:graphicFrame macro="">
          <xdr:nvGraphicFramePr>
            <xdr:cNvPr id="7" name=" Artist Type">
              <a:extLst>
                <a:ext uri="{FF2B5EF4-FFF2-40B4-BE49-F238E27FC236}">
                  <a16:creationId xmlns:a16="http://schemas.microsoft.com/office/drawing/2014/main" id="{7EAE3C09-9677-43D4-0D70-F8745DBDDAFD}"/>
                </a:ext>
              </a:extLst>
            </xdr:cNvPr>
            <xdr:cNvGraphicFramePr/>
          </xdr:nvGraphicFramePr>
          <xdr:xfrm>
            <a:off x="0" y="0"/>
            <a:ext cx="0" cy="0"/>
          </xdr:xfrm>
          <a:graphic>
            <a:graphicData uri="http://schemas.microsoft.com/office/drawing/2010/slicer">
              <sle:slicer xmlns:sle="http://schemas.microsoft.com/office/drawing/2010/slicer" name=" Artist Type"/>
            </a:graphicData>
          </a:graphic>
        </xdr:graphicFrame>
      </mc:Choice>
      <mc:Fallback xmlns="">
        <xdr:sp macro="" textlink="">
          <xdr:nvSpPr>
            <xdr:cNvPr id="0" name=""/>
            <xdr:cNvSpPr>
              <a:spLocks noTextEdit="1"/>
            </xdr:cNvSpPr>
          </xdr:nvSpPr>
          <xdr:spPr>
            <a:xfrm>
              <a:off x="6032500" y="2495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254000</xdr:colOff>
      <xdr:row>16</xdr:row>
      <xdr:rowOff>25400</xdr:rowOff>
    </xdr:from>
    <xdr:to>
      <xdr:col>12</xdr:col>
      <xdr:colOff>254000</xdr:colOff>
      <xdr:row>29</xdr:row>
      <xdr:rowOff>155575</xdr:rowOff>
    </xdr:to>
    <mc:AlternateContent xmlns:mc="http://schemas.openxmlformats.org/markup-compatibility/2006" xmlns:a14="http://schemas.microsoft.com/office/drawing/2010/main">
      <mc:Choice Requires="a14">
        <xdr:graphicFrame macro="">
          <xdr:nvGraphicFramePr>
            <xdr:cNvPr id="8" name="Debut Year">
              <a:extLst>
                <a:ext uri="{FF2B5EF4-FFF2-40B4-BE49-F238E27FC236}">
                  <a16:creationId xmlns:a16="http://schemas.microsoft.com/office/drawing/2014/main" id="{85BB39D7-5081-4E4E-0567-D6F7492C8032}"/>
                </a:ext>
              </a:extLst>
            </xdr:cNvPr>
            <xdr:cNvGraphicFramePr/>
          </xdr:nvGraphicFramePr>
          <xdr:xfrm>
            <a:off x="0" y="0"/>
            <a:ext cx="0" cy="0"/>
          </xdr:xfrm>
          <a:graphic>
            <a:graphicData uri="http://schemas.microsoft.com/office/drawing/2010/slicer">
              <sle:slicer xmlns:sle="http://schemas.microsoft.com/office/drawing/2010/slicer" name="Debut Year"/>
            </a:graphicData>
          </a:graphic>
        </xdr:graphicFrame>
      </mc:Choice>
      <mc:Fallback xmlns="">
        <xdr:sp macro="" textlink="">
          <xdr:nvSpPr>
            <xdr:cNvPr id="0" name=""/>
            <xdr:cNvSpPr>
              <a:spLocks noTextEdit="1"/>
            </xdr:cNvSpPr>
          </xdr:nvSpPr>
          <xdr:spPr>
            <a:xfrm>
              <a:off x="6508750" y="2971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552450</xdr:colOff>
      <xdr:row>9</xdr:row>
      <xdr:rowOff>25400</xdr:rowOff>
    </xdr:from>
    <xdr:to>
      <xdr:col>4</xdr:col>
      <xdr:colOff>552450</xdr:colOff>
      <xdr:row>22</xdr:row>
      <xdr:rowOff>155575</xdr:rowOff>
    </xdr:to>
    <mc:AlternateContent xmlns:mc="http://schemas.openxmlformats.org/markup-compatibility/2006" xmlns:a14="http://schemas.microsoft.com/office/drawing/2010/main">
      <mc:Choice Requires="a14">
        <xdr:graphicFrame macro="">
          <xdr:nvGraphicFramePr>
            <xdr:cNvPr id="2" name="Artist Name">
              <a:extLst>
                <a:ext uri="{FF2B5EF4-FFF2-40B4-BE49-F238E27FC236}">
                  <a16:creationId xmlns:a16="http://schemas.microsoft.com/office/drawing/2014/main" id="{1D18CEC0-2CD6-015E-5792-F11ABE1EEF25}"/>
                </a:ext>
              </a:extLst>
            </xdr:cNvPr>
            <xdr:cNvGraphicFramePr/>
          </xdr:nvGraphicFramePr>
          <xdr:xfrm>
            <a:off x="0" y="0"/>
            <a:ext cx="0" cy="0"/>
          </xdr:xfrm>
          <a:graphic>
            <a:graphicData uri="http://schemas.microsoft.com/office/drawing/2010/slicer">
              <sle:slicer xmlns:sle="http://schemas.microsoft.com/office/drawing/2010/slicer" name="Artist Name"/>
            </a:graphicData>
          </a:graphic>
        </xdr:graphicFrame>
      </mc:Choice>
      <mc:Fallback xmlns="">
        <xdr:sp macro="" textlink="">
          <xdr:nvSpPr>
            <xdr:cNvPr id="0" name=""/>
            <xdr:cNvSpPr>
              <a:spLocks noTextEdit="1"/>
            </xdr:cNvSpPr>
          </xdr:nvSpPr>
          <xdr:spPr>
            <a:xfrm>
              <a:off x="1930400" y="168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838200</xdr:colOff>
      <xdr:row>10</xdr:row>
      <xdr:rowOff>82550</xdr:rowOff>
    </xdr:from>
    <xdr:to>
      <xdr:col>7</xdr:col>
      <xdr:colOff>317500</xdr:colOff>
      <xdr:row>25</xdr:row>
      <xdr:rowOff>63500</xdr:rowOff>
    </xdr:to>
    <xdr:graphicFrame macro="">
      <xdr:nvGraphicFramePr>
        <xdr:cNvPr id="2" name="Chart 1">
          <a:extLst>
            <a:ext uri="{FF2B5EF4-FFF2-40B4-BE49-F238E27FC236}">
              <a16:creationId xmlns:a16="http://schemas.microsoft.com/office/drawing/2014/main" id="{59E8BF56-456F-95F7-F25F-1D82A4E3B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1054100</xdr:colOff>
      <xdr:row>93</xdr:row>
      <xdr:rowOff>82550</xdr:rowOff>
    </xdr:from>
    <xdr:to>
      <xdr:col>10</xdr:col>
      <xdr:colOff>311150</xdr:colOff>
      <xdr:row>108</xdr:row>
      <xdr:rowOff>63500</xdr:rowOff>
    </xdr:to>
    <xdr:graphicFrame macro="">
      <xdr:nvGraphicFramePr>
        <xdr:cNvPr id="4" name="Chart 3">
          <a:extLst>
            <a:ext uri="{FF2B5EF4-FFF2-40B4-BE49-F238E27FC236}">
              <a16:creationId xmlns:a16="http://schemas.microsoft.com/office/drawing/2014/main" id="{7957A7E8-C555-8F16-DE54-E1E707DAA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1054100</xdr:colOff>
      <xdr:row>110</xdr:row>
      <xdr:rowOff>82550</xdr:rowOff>
    </xdr:from>
    <xdr:to>
      <xdr:col>21</xdr:col>
      <xdr:colOff>177800</xdr:colOff>
      <xdr:row>125</xdr:row>
      <xdr:rowOff>63500</xdr:rowOff>
    </xdr:to>
    <xdr:graphicFrame macro="">
      <xdr:nvGraphicFramePr>
        <xdr:cNvPr id="5" name="Chart 4">
          <a:extLst>
            <a:ext uri="{FF2B5EF4-FFF2-40B4-BE49-F238E27FC236}">
              <a16:creationId xmlns:a16="http://schemas.microsoft.com/office/drawing/2014/main" id="{F6973B04-69AE-974C-4D5B-4A3A2A0A6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130175</xdr:colOff>
      <xdr:row>29</xdr:row>
      <xdr:rowOff>82550</xdr:rowOff>
    </xdr:from>
    <xdr:to>
      <xdr:col>33</xdr:col>
      <xdr:colOff>231775</xdr:colOff>
      <xdr:row>44</xdr:row>
      <xdr:rowOff>63500</xdr:rowOff>
    </xdr:to>
    <xdr:graphicFrame macro="">
      <xdr:nvGraphicFramePr>
        <xdr:cNvPr id="6" name="Chart 5">
          <a:extLst>
            <a:ext uri="{FF2B5EF4-FFF2-40B4-BE49-F238E27FC236}">
              <a16:creationId xmlns:a16="http://schemas.microsoft.com/office/drawing/2014/main" id="{3D38F8F6-FE75-8A82-A959-88CCE061C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2209800</xdr:colOff>
      <xdr:row>124</xdr:row>
      <xdr:rowOff>152400</xdr:rowOff>
    </xdr:from>
    <xdr:to>
      <xdr:col>26</xdr:col>
      <xdr:colOff>19050</xdr:colOff>
      <xdr:row>139</xdr:row>
      <xdr:rowOff>133350</xdr:rowOff>
    </xdr:to>
    <xdr:graphicFrame macro="">
      <xdr:nvGraphicFramePr>
        <xdr:cNvPr id="7" name="Chart 6">
          <a:extLst>
            <a:ext uri="{FF2B5EF4-FFF2-40B4-BE49-F238E27FC236}">
              <a16:creationId xmlns:a16="http://schemas.microsoft.com/office/drawing/2014/main" id="{E304D0DD-4423-945A-1B13-E4F0606BB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3736" cy="6284310"/>
    <xdr:graphicFrame macro="">
      <xdr:nvGraphicFramePr>
        <xdr:cNvPr id="2" name="Chart 1">
          <a:extLst>
            <a:ext uri="{FF2B5EF4-FFF2-40B4-BE49-F238E27FC236}">
              <a16:creationId xmlns:a16="http://schemas.microsoft.com/office/drawing/2014/main" id="{184630A0-4A9D-A9D4-E1A4-0D27A7E20B7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76200</xdr:colOff>
      <xdr:row>2</xdr:row>
      <xdr:rowOff>0</xdr:rowOff>
    </xdr:to>
    <xdr:pic>
      <xdr:nvPicPr>
        <xdr:cNvPr id="3" name="Picture 2">
          <a:extLst>
            <a:ext uri="{FF2B5EF4-FFF2-40B4-BE49-F238E27FC236}">
              <a16:creationId xmlns:a16="http://schemas.microsoft.com/office/drawing/2014/main" id="{A33664C6-B066-FEF1-DF91-9745F26DFA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95400" cy="431800"/>
        </a:xfrm>
        <a:prstGeom prst="rect">
          <a:avLst/>
        </a:prstGeom>
        <a:solidFill>
          <a:srgbClr val="FFFFFF">
            <a:shade val="85000"/>
          </a:srgbClr>
        </a:solidFill>
        <a:ln w="88900" cap="sq">
          <a:no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17</xdr:col>
      <xdr:colOff>464038</xdr:colOff>
      <xdr:row>19</xdr:row>
      <xdr:rowOff>138396</xdr:rowOff>
    </xdr:from>
    <xdr:to>
      <xdr:col>24</xdr:col>
      <xdr:colOff>309358</xdr:colOff>
      <xdr:row>35</xdr:row>
      <xdr:rowOff>56986</xdr:rowOff>
    </xdr:to>
    <xdr:graphicFrame macro="">
      <xdr:nvGraphicFramePr>
        <xdr:cNvPr id="6" name="Chart 5">
          <a:extLst>
            <a:ext uri="{FF2B5EF4-FFF2-40B4-BE49-F238E27FC236}">
              <a16:creationId xmlns:a16="http://schemas.microsoft.com/office/drawing/2014/main" id="{5785211E-7687-4A55-B7BD-3A3D87FA3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187243</xdr:colOff>
      <xdr:row>19</xdr:row>
      <xdr:rowOff>138397</xdr:rowOff>
    </xdr:from>
    <xdr:to>
      <xdr:col>17</xdr:col>
      <xdr:colOff>162820</xdr:colOff>
      <xdr:row>35</xdr:row>
      <xdr:rowOff>18561</xdr:rowOff>
    </xdr:to>
    <xdr:graphicFrame macro="">
      <xdr:nvGraphicFramePr>
        <xdr:cNvPr id="7" name="Chart 6">
          <a:extLst>
            <a:ext uri="{FF2B5EF4-FFF2-40B4-BE49-F238E27FC236}">
              <a16:creationId xmlns:a16="http://schemas.microsoft.com/office/drawing/2014/main" id="{3826B55A-9116-48E9-80AD-2FF3A50F1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73268</xdr:colOff>
      <xdr:row>2</xdr:row>
      <xdr:rowOff>113974</xdr:rowOff>
    </xdr:from>
    <xdr:to>
      <xdr:col>14</xdr:col>
      <xdr:colOff>374486</xdr:colOff>
      <xdr:row>18</xdr:row>
      <xdr:rowOff>113974</xdr:rowOff>
    </xdr:to>
    <xdr:graphicFrame macro="">
      <xdr:nvGraphicFramePr>
        <xdr:cNvPr id="8" name="Chart 7">
          <a:extLst>
            <a:ext uri="{FF2B5EF4-FFF2-40B4-BE49-F238E27FC236}">
              <a16:creationId xmlns:a16="http://schemas.microsoft.com/office/drawing/2014/main" id="{53372044-51E8-478A-816E-E578CD612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19</xdr:row>
      <xdr:rowOff>138397</xdr:rowOff>
    </xdr:from>
    <xdr:to>
      <xdr:col>9</xdr:col>
      <xdr:colOff>0</xdr:colOff>
      <xdr:row>35</xdr:row>
      <xdr:rowOff>42984</xdr:rowOff>
    </xdr:to>
    <xdr:graphicFrame macro="">
      <xdr:nvGraphicFramePr>
        <xdr:cNvPr id="9" name="Chart 8">
          <a:extLst>
            <a:ext uri="{FF2B5EF4-FFF2-40B4-BE49-F238E27FC236}">
              <a16:creationId xmlns:a16="http://schemas.microsoft.com/office/drawing/2014/main" id="{16564E92-132D-4BEB-852C-15134306E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578011</xdr:colOff>
      <xdr:row>2</xdr:row>
      <xdr:rowOff>138397</xdr:rowOff>
    </xdr:from>
    <xdr:to>
      <xdr:col>24</xdr:col>
      <xdr:colOff>325642</xdr:colOff>
      <xdr:row>18</xdr:row>
      <xdr:rowOff>146537</xdr:rowOff>
    </xdr:to>
    <xdr:graphicFrame macro="">
      <xdr:nvGraphicFramePr>
        <xdr:cNvPr id="10" name="Chart 9">
          <a:extLst>
            <a:ext uri="{FF2B5EF4-FFF2-40B4-BE49-F238E27FC236}">
              <a16:creationId xmlns:a16="http://schemas.microsoft.com/office/drawing/2014/main" id="{7FF057E7-4557-469A-BB22-FD7D1B96C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512886</xdr:colOff>
      <xdr:row>2</xdr:row>
      <xdr:rowOff>8141</xdr:rowOff>
    </xdr:from>
    <xdr:to>
      <xdr:col>28</xdr:col>
      <xdr:colOff>105835</xdr:colOff>
      <xdr:row>6</xdr:row>
      <xdr:rowOff>130256</xdr:rowOff>
    </xdr:to>
    <mc:AlternateContent xmlns:mc="http://schemas.openxmlformats.org/markup-compatibility/2006" xmlns:a14="http://schemas.microsoft.com/office/drawing/2010/main">
      <mc:Choice Requires="a14">
        <xdr:graphicFrame macro="">
          <xdr:nvGraphicFramePr>
            <xdr:cNvPr id="11" name="Artist Name 1">
              <a:extLst>
                <a:ext uri="{FF2B5EF4-FFF2-40B4-BE49-F238E27FC236}">
                  <a16:creationId xmlns:a16="http://schemas.microsoft.com/office/drawing/2014/main" id="{B3D5F32C-75AE-4C78-8B25-0861372EB99A}"/>
                </a:ext>
              </a:extLst>
            </xdr:cNvPr>
            <xdr:cNvGraphicFramePr/>
          </xdr:nvGraphicFramePr>
          <xdr:xfrm>
            <a:off x="0" y="0"/>
            <a:ext cx="0" cy="0"/>
          </xdr:xfrm>
          <a:graphic>
            <a:graphicData uri="http://schemas.microsoft.com/office/drawing/2010/slicer">
              <sle:slicer xmlns:sle="http://schemas.microsoft.com/office/drawing/2010/slicer" name="Artist Name 1"/>
            </a:graphicData>
          </a:graphic>
        </xdr:graphicFrame>
      </mc:Choice>
      <mc:Fallback xmlns="">
        <xdr:sp macro="" textlink="">
          <xdr:nvSpPr>
            <xdr:cNvPr id="0" name=""/>
            <xdr:cNvSpPr>
              <a:spLocks noTextEdit="1"/>
            </xdr:cNvSpPr>
          </xdr:nvSpPr>
          <xdr:spPr>
            <a:xfrm>
              <a:off x="12497506" y="434154"/>
              <a:ext cx="2036494" cy="877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512885</xdr:colOff>
      <xdr:row>6</xdr:row>
      <xdr:rowOff>105833</xdr:rowOff>
    </xdr:from>
    <xdr:to>
      <xdr:col>28</xdr:col>
      <xdr:colOff>81411</xdr:colOff>
      <xdr:row>11</xdr:row>
      <xdr:rowOff>24423</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5A2EA33E-868E-4115-AFC7-E8043774C80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497505" y="1287415"/>
              <a:ext cx="2012071" cy="8992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545448</xdr:colOff>
      <xdr:row>11</xdr:row>
      <xdr:rowOff>65126</xdr:rowOff>
    </xdr:from>
    <xdr:to>
      <xdr:col>28</xdr:col>
      <xdr:colOff>187244</xdr:colOff>
      <xdr:row>16</xdr:row>
      <xdr:rowOff>43308</xdr:rowOff>
    </xdr:to>
    <mc:AlternateContent xmlns:mc="http://schemas.openxmlformats.org/markup-compatibility/2006" xmlns:a14="http://schemas.microsoft.com/office/drawing/2010/main">
      <mc:Choice Requires="a14">
        <xdr:graphicFrame macro="">
          <xdr:nvGraphicFramePr>
            <xdr:cNvPr id="13" name="Country of Origin 1">
              <a:extLst>
                <a:ext uri="{FF2B5EF4-FFF2-40B4-BE49-F238E27FC236}">
                  <a16:creationId xmlns:a16="http://schemas.microsoft.com/office/drawing/2014/main" id="{2811509C-96E0-439B-9029-B7793B0DC45A}"/>
                </a:ext>
              </a:extLst>
            </xdr:cNvPr>
            <xdr:cNvGraphicFramePr/>
          </xdr:nvGraphicFramePr>
          <xdr:xfrm>
            <a:off x="0" y="0"/>
            <a:ext cx="0" cy="0"/>
          </xdr:xfrm>
          <a:graphic>
            <a:graphicData uri="http://schemas.microsoft.com/office/drawing/2010/slicer">
              <sle:slicer xmlns:sle="http://schemas.microsoft.com/office/drawing/2010/slicer" name="Country of Origin 1"/>
            </a:graphicData>
          </a:graphic>
        </xdr:graphicFrame>
      </mc:Choice>
      <mc:Fallback xmlns="">
        <xdr:sp macro="" textlink="">
          <xdr:nvSpPr>
            <xdr:cNvPr id="0" name=""/>
            <xdr:cNvSpPr>
              <a:spLocks noTextEdit="1"/>
            </xdr:cNvSpPr>
          </xdr:nvSpPr>
          <xdr:spPr>
            <a:xfrm>
              <a:off x="12530068" y="2227341"/>
              <a:ext cx="2085341" cy="902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545449</xdr:colOff>
      <xdr:row>16</xdr:row>
      <xdr:rowOff>8142</xdr:rowOff>
    </xdr:from>
    <xdr:to>
      <xdr:col>28</xdr:col>
      <xdr:colOff>162822</xdr:colOff>
      <xdr:row>20</xdr:row>
      <xdr:rowOff>173568</xdr:rowOff>
    </xdr:to>
    <mc:AlternateContent xmlns:mc="http://schemas.openxmlformats.org/markup-compatibility/2006" xmlns:a14="http://schemas.microsoft.com/office/drawing/2010/main">
      <mc:Choice Requires="a14">
        <xdr:graphicFrame macro="">
          <xdr:nvGraphicFramePr>
            <xdr:cNvPr id="14" name="Primary Language 1">
              <a:extLst>
                <a:ext uri="{FF2B5EF4-FFF2-40B4-BE49-F238E27FC236}">
                  <a16:creationId xmlns:a16="http://schemas.microsoft.com/office/drawing/2014/main" id="{39B9AA18-64E2-4948-9C44-083C233AE7B7}"/>
                </a:ext>
              </a:extLst>
            </xdr:cNvPr>
            <xdr:cNvGraphicFramePr/>
          </xdr:nvGraphicFramePr>
          <xdr:xfrm>
            <a:off x="0" y="0"/>
            <a:ext cx="0" cy="0"/>
          </xdr:xfrm>
          <a:graphic>
            <a:graphicData uri="http://schemas.microsoft.com/office/drawing/2010/slicer">
              <sle:slicer xmlns:sle="http://schemas.microsoft.com/office/drawing/2010/slicer" name="Primary Language 1"/>
            </a:graphicData>
          </a:graphic>
        </xdr:graphicFrame>
      </mc:Choice>
      <mc:Fallback xmlns="">
        <xdr:sp macro="" textlink="">
          <xdr:nvSpPr>
            <xdr:cNvPr id="0" name=""/>
            <xdr:cNvSpPr>
              <a:spLocks noTextEdit="1"/>
            </xdr:cNvSpPr>
          </xdr:nvSpPr>
          <xdr:spPr>
            <a:xfrm>
              <a:off x="12530069" y="3094724"/>
              <a:ext cx="2060918" cy="90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545448</xdr:colOff>
      <xdr:row>20</xdr:row>
      <xdr:rowOff>138397</xdr:rowOff>
    </xdr:from>
    <xdr:to>
      <xdr:col>28</xdr:col>
      <xdr:colOff>146539</xdr:colOff>
      <xdr:row>25</xdr:row>
      <xdr:rowOff>25139</xdr:rowOff>
    </xdr:to>
    <mc:AlternateContent xmlns:mc="http://schemas.openxmlformats.org/markup-compatibility/2006" xmlns:a14="http://schemas.microsoft.com/office/drawing/2010/main">
      <mc:Choice Requires="a14">
        <xdr:graphicFrame macro="">
          <xdr:nvGraphicFramePr>
            <xdr:cNvPr id="15" name="Primary Genre 1">
              <a:extLst>
                <a:ext uri="{FF2B5EF4-FFF2-40B4-BE49-F238E27FC236}">
                  <a16:creationId xmlns:a16="http://schemas.microsoft.com/office/drawing/2014/main" id="{B24D0821-BC44-486E-B6B1-DE708CCE604A}"/>
                </a:ext>
              </a:extLst>
            </xdr:cNvPr>
            <xdr:cNvGraphicFramePr/>
          </xdr:nvGraphicFramePr>
          <xdr:xfrm>
            <a:off x="0" y="0"/>
            <a:ext cx="0" cy="0"/>
          </xdr:xfrm>
          <a:graphic>
            <a:graphicData uri="http://schemas.microsoft.com/office/drawing/2010/slicer">
              <sle:slicer xmlns:sle="http://schemas.microsoft.com/office/drawing/2010/slicer" name="Primary Genre 1"/>
            </a:graphicData>
          </a:graphic>
        </xdr:graphicFrame>
      </mc:Choice>
      <mc:Fallback xmlns="">
        <xdr:sp macro="" textlink="">
          <xdr:nvSpPr>
            <xdr:cNvPr id="0" name=""/>
            <xdr:cNvSpPr>
              <a:spLocks noTextEdit="1"/>
            </xdr:cNvSpPr>
          </xdr:nvSpPr>
          <xdr:spPr>
            <a:xfrm>
              <a:off x="12530068" y="3964473"/>
              <a:ext cx="2044636" cy="811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553590</xdr:colOff>
      <xdr:row>24</xdr:row>
      <xdr:rowOff>122113</xdr:rowOff>
    </xdr:from>
    <xdr:to>
      <xdr:col>27</xdr:col>
      <xdr:colOff>550659</xdr:colOff>
      <xdr:row>29</xdr:row>
      <xdr:rowOff>8855</xdr:rowOff>
    </xdr:to>
    <mc:AlternateContent xmlns:mc="http://schemas.openxmlformats.org/markup-compatibility/2006" xmlns:a14="http://schemas.microsoft.com/office/drawing/2010/main">
      <mc:Choice Requires="a14">
        <xdr:graphicFrame macro="">
          <xdr:nvGraphicFramePr>
            <xdr:cNvPr id="16" name=" Artist Type 1">
              <a:extLst>
                <a:ext uri="{FF2B5EF4-FFF2-40B4-BE49-F238E27FC236}">
                  <a16:creationId xmlns:a16="http://schemas.microsoft.com/office/drawing/2014/main" id="{0BC16EF5-32C4-44BB-B4B6-E8B923550997}"/>
                </a:ext>
              </a:extLst>
            </xdr:cNvPr>
            <xdr:cNvGraphicFramePr/>
          </xdr:nvGraphicFramePr>
          <xdr:xfrm>
            <a:off x="0" y="0"/>
            <a:ext cx="0" cy="0"/>
          </xdr:xfrm>
          <a:graphic>
            <a:graphicData uri="http://schemas.microsoft.com/office/drawing/2010/slicer">
              <sle:slicer xmlns:sle="http://schemas.microsoft.com/office/drawing/2010/slicer" name=" Artist Type 1"/>
            </a:graphicData>
          </a:graphic>
        </xdr:graphicFrame>
      </mc:Choice>
      <mc:Fallback xmlns="">
        <xdr:sp macro="" textlink="">
          <xdr:nvSpPr>
            <xdr:cNvPr id="0" name=""/>
            <xdr:cNvSpPr>
              <a:spLocks noTextEdit="1"/>
            </xdr:cNvSpPr>
          </xdr:nvSpPr>
          <xdr:spPr>
            <a:xfrm>
              <a:off x="12538210" y="4687683"/>
              <a:ext cx="1829727" cy="811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29</xdr:row>
      <xdr:rowOff>-1</xdr:rowOff>
    </xdr:from>
    <xdr:to>
      <xdr:col>27</xdr:col>
      <xdr:colOff>607646</xdr:colOff>
      <xdr:row>33</xdr:row>
      <xdr:rowOff>73985</xdr:rowOff>
    </xdr:to>
    <mc:AlternateContent xmlns:mc="http://schemas.openxmlformats.org/markup-compatibility/2006" xmlns:a14="http://schemas.microsoft.com/office/drawing/2010/main">
      <mc:Choice Requires="a14">
        <xdr:graphicFrame macro="">
          <xdr:nvGraphicFramePr>
            <xdr:cNvPr id="17" name="Debut Year 1">
              <a:extLst>
                <a:ext uri="{FF2B5EF4-FFF2-40B4-BE49-F238E27FC236}">
                  <a16:creationId xmlns:a16="http://schemas.microsoft.com/office/drawing/2014/main" id="{C5B993DA-E132-4E68-B96A-2A1408AA5128}"/>
                </a:ext>
              </a:extLst>
            </xdr:cNvPr>
            <xdr:cNvGraphicFramePr/>
          </xdr:nvGraphicFramePr>
          <xdr:xfrm>
            <a:off x="0" y="0"/>
            <a:ext cx="0" cy="0"/>
          </xdr:xfrm>
          <a:graphic>
            <a:graphicData uri="http://schemas.microsoft.com/office/drawing/2010/slicer">
              <sle:slicer xmlns:sle="http://schemas.microsoft.com/office/drawing/2010/slicer" name="Debut Year 1"/>
            </a:graphicData>
          </a:graphic>
        </xdr:graphicFrame>
      </mc:Choice>
      <mc:Fallback xmlns="">
        <xdr:sp macro="" textlink="">
          <xdr:nvSpPr>
            <xdr:cNvPr id="0" name=""/>
            <xdr:cNvSpPr>
              <a:spLocks noTextEdit="1"/>
            </xdr:cNvSpPr>
          </xdr:nvSpPr>
          <xdr:spPr>
            <a:xfrm>
              <a:off x="12595506" y="5489936"/>
              <a:ext cx="1829418" cy="81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9.768305555554" createdVersion="8" refreshedVersion="8" minRefreshableVersion="3" recordCount="500" xr:uid="{7F1250C8-2EEF-42BF-8532-897B4DE7D1BF}">
  <cacheSource type="worksheet">
    <worksheetSource name="row"/>
  </cacheSource>
  <cacheFields count="14">
    <cacheField name="Artist Name" numFmtId="0">
      <sharedItems count="500">
        <s v="Drake"/>
        <s v="Taylor Swift"/>
        <s v="Bad Bunny"/>
        <s v="The Weeknd"/>
        <s v="Justin Bieber"/>
        <s v="Ariana Grande"/>
        <s v="Travis Scott"/>
        <s v="Kanye West"/>
        <s v="Ed Sheeran"/>
        <s v="Eminem"/>
        <s v="Rihanna"/>
        <s v="Billie Eilish"/>
        <s v="Bruno Mars"/>
        <s v="Kendrick Lamar"/>
        <s v="Post Malone"/>
        <s v="J Balvin"/>
        <s v="Future"/>
        <s v="BTS"/>
        <s v="Ozuna"/>
        <s v="Coldplay"/>
        <s v="Juice WRLD"/>
        <s v="Chris Brown"/>
        <s v="Nicki Minaj"/>
        <s v="Lana Del Rey"/>
        <s v="David Guetta"/>
        <s v="Dua Lipa"/>
        <s v="Daddy Yankee"/>
        <s v="Rauw Alejandro"/>
        <s v="Anuel AA"/>
        <s v="XXXTENTACION"/>
        <s v="Imagine Dragons"/>
        <s v="Lil Wayne"/>
        <s v="21 Savage"/>
        <s v="SZA"/>
        <s v="Arijit Singh"/>
        <s v="Lady Gaga"/>
        <s v="KAROL G"/>
        <s v="Lil Baby"/>
        <s v="Maroon 5"/>
        <s v="Khalid"/>
        <s v="BeyoncÃ©"/>
        <s v="Maluma"/>
        <s v="Feid"/>
        <s v="Calvin Harris"/>
        <s v="Myke Towers"/>
        <s v="Linkin Park"/>
        <s v="Peso Pluma"/>
        <s v="J. Cole"/>
        <s v="Lil Uzi Vert"/>
        <s v="Sia"/>
        <s v="Doja Cat"/>
        <s v="Shakira"/>
        <s v="Morgan Wallen"/>
        <s v="Young Thug"/>
        <s v="Farruko"/>
        <s v="Shawn Mendes"/>
        <s v="Harry Styles"/>
        <s v="Queen"/>
        <s v="Sam Smith"/>
        <s v="One Direction"/>
        <s v="Metro Boomin"/>
        <s v="Olivia Rodrigo"/>
        <s v="Adele"/>
        <s v="Pritam"/>
        <s v="Katy Perry"/>
        <s v="Gunna"/>
        <s v="Arctic Monkeys"/>
        <s v="Fuerza Regida"/>
        <s v="Junior H"/>
        <s v="Tyler, The Creator"/>
        <s v="Selena Gomez"/>
        <s v="Ty Dolla $ign"/>
        <s v="The Beatles"/>
        <s v="Pitbull"/>
        <s v="Nicky Jam"/>
        <s v="Playboi Carti"/>
        <s v="Halsey"/>
        <s v="Wiz Khalifa"/>
        <s v="Michael Jackson"/>
        <s v="Sabrina Carpenter"/>
        <s v="Frank Ocean"/>
        <s v="Die drei ???"/>
        <s v="JAÅ¸-Z"/>
        <s v="A$AP Rocky"/>
        <s v="Miley Cyrus"/>
        <s v="The Chainsmokers"/>
        <s v="Marshmello"/>
        <s v="Cardi B"/>
        <s v="Twenty One Pilots"/>
        <s v="Disney"/>
        <s v="ArcÃ¡ngel"/>
        <s v="Red Hot Chili Peppers"/>
        <s v="Camila Cabello"/>
        <s v="$uicideboy$"/>
        <s v="OneRepublic"/>
        <s v="Avicii"/>
        <s v="Diplo"/>
        <s v="Snoop Dogg"/>
        <s v="Romeo Santos"/>
        <s v="50 Cent"/>
        <s v="Natanael Cano"/>
        <s v="YoungBoy Never Broke Again"/>
        <s v="Mac Miller"/>
        <s v="DaBaby"/>
        <s v="Don Toliver"/>
        <s v="Zach Bryan"/>
        <s v="Kygo"/>
        <s v="Sech"/>
        <s v="The Neighbourhood"/>
        <s v="Quavo"/>
        <s v="Henrique &amp; Juliano"/>
        <s v="Luke Combs"/>
        <s v="Elton John"/>
        <s v="Manuel Turizo"/>
        <s v="Trippie Redd"/>
        <s v="Tate McRae"/>
        <s v="Lil Peep"/>
        <s v="Metallica"/>
        <s v="Don Omar"/>
        <s v="USHER"/>
        <s v="Charlie Puth"/>
        <s v="Justin Timberlake"/>
        <s v="TiÃ«sto"/>
        <s v="Sean Paul"/>
        <s v="Tyga"/>
        <s v="Kali Uchis"/>
        <s v="Kodak Black"/>
        <s v="Jason Derulo"/>
        <s v="BLACKPINK"/>
        <s v="JHAYCO"/>
        <s v="Bebe Rexha"/>
        <s v="Daft Punk"/>
        <s v="Luis Miguel"/>
        <s v="Demi Lovato"/>
        <s v="Akon"/>
        <s v="AC/DC"/>
        <s v="Sebastian Yatra"/>
        <s v="CarÃ­n LeÃ³n"/>
        <s v="Alan Walker"/>
        <s v="A Boogie Wit da Hoodie"/>
        <s v="Fleetwood Mac"/>
        <s v="Hozier"/>
        <s v="Ellie Goulding"/>
        <s v="Radiohead"/>
        <s v="Big Sean"/>
        <s v="Flo Rida"/>
        <s v="P!nk"/>
        <s v="Nirvana"/>
        <s v="Pop Smoke"/>
        <s v="Britney Spears"/>
        <s v="James Arthur"/>
        <s v="Tory Lanez"/>
        <s v="Pharrell Williams"/>
        <s v="DJ Snake"/>
        <s v="Daniel Caesar"/>
        <s v="Black Eyed Peas"/>
        <s v="Swae Lee"/>
        <s v="Shreya Ghoshal"/>
        <s v="Duki"/>
        <s v="Bizarrap"/>
        <s v="Migos"/>
        <s v="The Kid LAROI"/>
        <s v="MarÃ­lia MendonÃ§a"/>
        <s v="Anitta"/>
        <s v="Green Day"/>
        <s v="Lil Durk"/>
        <s v="Polo G"/>
        <s v="A.R. Rahman"/>
        <s v="G-Eazy"/>
        <s v="Kid Cudi"/>
        <s v="Justin Quiles"/>
        <s v="Bob Marley &amp; The Wailers"/>
        <s v="Stray Kids"/>
        <s v="Anirudh Ravichander"/>
        <s v="Ne-Yo"/>
        <s v="Gucci Mane"/>
        <s v="ROSALÃA"/>
        <s v="Charli xcx"/>
        <s v="Joji"/>
        <s v="Fall Out Boy"/>
        <s v="PARTYNEXTDOOR"/>
        <s v="Jorge &amp; Mateus"/>
        <s v="Offset"/>
        <s v="Panic! At The Disco"/>
        <s v="Tame Impala"/>
        <s v="Quevedo"/>
        <s v="Morat"/>
        <s v="Zara Larsson"/>
        <s v="Tito Double P"/>
        <s v="Jul"/>
        <s v="2Pac"/>
        <s v="Gorillaz"/>
        <s v="Lewis Capaldi"/>
        <s v="Grupo Frontera"/>
        <s v="Camilo"/>
        <s v="Lenny TavÃ¡rez"/>
        <s v="2 Chainz"/>
        <s v="NF"/>
        <s v="Bryson Tiller"/>
        <s v="Rels B"/>
        <s v="Roddy Ricch"/>
        <s v="Guns N' Roses"/>
        <s v="Mariah Carey"/>
        <s v="Noah Kahan"/>
        <s v="Megan Thee Stallion"/>
        <s v="Christian Nodal"/>
        <s v="Brent Faiyaz"/>
        <s v="Martin Garrix"/>
        <s v="Banda MS de Sergio LizÃ¡rraga"/>
        <s v="Pink Floyd"/>
        <s v="mgk"/>
        <s v="Wisin &amp; Yandel"/>
        <s v="Dr. Dre"/>
        <s v="Mora"/>
        <s v="Cigarettes After Sex"/>
        <s v="Childish Gambino"/>
        <s v="Wisin"/>
        <s v="Major Lazer"/>
        <s v="John Mayer"/>
        <s v="Miguel"/>
        <s v="Lil Nas X"/>
        <s v="System Of A Down"/>
        <s v="Logic"/>
        <s v="ABBA"/>
        <s v="Becky G"/>
        <s v="Yandel"/>
        <s v="Enrique Iglesias"/>
        <s v="Lil Yachty"/>
        <s v="Luis R Conriquez"/>
        <s v="Zion &amp; Lennox"/>
        <s v="5 Seconds of Summer"/>
        <s v="Jack Harlow"/>
        <s v="TWICE"/>
        <s v="Ã‘engo Flow"/>
        <s v="Ava Max"/>
        <s v="ZAYN"/>
        <s v="Michael BublÃ©"/>
        <s v="Macklemore"/>
        <s v="Anne-Marie"/>
        <s v="The Rolling Stones"/>
        <s v="Frank Sinatra"/>
        <s v="Robin Schulz"/>
        <s v="Bryant Myers"/>
        <s v="Gusttavo Lima"/>
        <s v="Eladio Carrion"/>
        <s v="Grupo Firme"/>
        <s v="Amitabh Bhattacharya"/>
        <s v="Alicia Keys"/>
        <s v="Kesha"/>
        <s v="LAUV"/>
        <s v="Madonna"/>
        <s v="Reik"/>
        <s v="John Legend"/>
        <s v="Meghan Trainor"/>
        <s v="Lil Tecca"/>
        <s v="Lorde"/>
        <s v="MC Ryan SP"/>
        <s v="Chris Stapleton"/>
        <s v="French Montana"/>
        <s v="Melanie Martinez"/>
        <s v="Elvis Presley"/>
        <s v="Rick Ross"/>
        <s v="Cris MJ"/>
        <s v="Zedd"/>
        <s v="Paramore"/>
        <s v="Chance the Rapper"/>
        <s v="Ninho"/>
        <s v="blackbear"/>
        <s v="Creedence Clearwater Revival"/>
        <s v="T-Pain"/>
        <s v="Jung Kook"/>
        <s v="Skrillex"/>
        <s v="DJ Khaled"/>
        <s v="Wizkid"/>
        <s v="Oasis"/>
        <s v="Christina Aguilera"/>
        <s v="Slipknot"/>
        <s v="Irshad Kamil"/>
        <s v="Little Mix"/>
        <s v="BeÃ©le"/>
        <s v="The Notorious B.I.G."/>
        <s v="Mitski"/>
        <s v="Tainy"/>
        <s v="ZÃ© Neto &amp; Cristiano"/>
        <s v="Rammstein"/>
        <s v="Labrinth"/>
        <s v="Chencho Corleone"/>
        <s v="Darell"/>
        <s v="Bon Jovi"/>
        <s v="The Killers"/>
        <s v="blink-182"/>
        <s v="Summer Walker"/>
        <s v="JhenÃ© Aiko"/>
        <s v="Kehlani"/>
        <s v="Clean Bandit"/>
        <s v="David Bowie"/>
        <s v="U2"/>
        <s v="Aventura"/>
        <s v="Foo Fighters"/>
        <s v="The 1975"/>
        <s v="Maria Becerra"/>
        <s v="Plan B"/>
        <s v="Steve Lacy"/>
        <s v="De La Ghetto"/>
        <s v="Troye Sivan"/>
        <s v="Conan Gray"/>
        <s v="Ludacris"/>
        <s v="Burna Boy"/>
        <s v="Danny Ocean"/>
        <s v="Meek Mill"/>
        <s v="My Chemical Romance"/>
        <s v="Alessia Cara"/>
        <s v="Vishal-Shekhar"/>
        <s v="Paulo Londra"/>
        <s v="La Arrolladora Banda El LimÃ³n De Rene Camacho"/>
        <s v="Yeat"/>
        <s v="Matheus &amp; Kauan"/>
        <s v="Alok"/>
        <s v="Bring Me The Horizon"/>
        <s v="Central Cee"/>
        <s v="League of Legends"/>
        <s v="Mac DeMarco"/>
        <s v="Benson Boone"/>
        <s v="Dalex"/>
        <s v="Nickelback"/>
        <s v="Marc Anthony"/>
        <s v="ManÃ¡"/>
        <s v="Led Zeppelin"/>
        <s v="MÃ¥neskin"/>
        <s v="Florida Georgia Line"/>
        <s v="Luis Fonsi"/>
        <s v="RAYE"/>
        <s v="Neton Vega"/>
        <s v="Gracie Abrams"/>
        <s v="Timbaland"/>
        <s v="Jeremih"/>
        <s v="The Lumineers"/>
        <s v="Oscar Maydon"/>
        <s v="Anderson .Paak"/>
        <s v="Chase Atlantic"/>
        <s v="JuliÃ³n Ãlvarez y su NorteÃ±o Banda"/>
        <s v="Prince Royce"/>
        <s v="Bastille"/>
        <s v="Sfera Ebbasta"/>
        <s v="Florence + The Machine"/>
        <s v="YG"/>
        <s v="Alejandro Sanz"/>
        <s v="Lil Tjay"/>
        <s v="GIVÄ’ON"/>
        <s v="Billy Joel"/>
        <s v="Luke Bryan"/>
        <s v="Muse"/>
        <s v="Jonas Blue"/>
        <s v="Teddy Swims"/>
        <s v="Juanes"/>
        <s v="Jennifer Lopez"/>
        <s v="Cartel De Santa"/>
        <s v="T.I."/>
        <s v="Gabito Ballesteros"/>
        <s v="El Alfa"/>
        <s v="Alka Yagnik"/>
        <s v="Blessd"/>
        <s v="NATTI NATASHA"/>
        <s v="Bruce Springsteen"/>
        <s v="Alfredo Olivas"/>
        <s v="Jonas Brothers"/>
        <s v="Hans Zimmer"/>
        <s v="Julia Michaels"/>
        <s v="Deftones"/>
        <s v="Clairo"/>
        <s v="Whitney Houston"/>
        <s v="Tove Lo"/>
        <s v="DJ Luian"/>
        <s v="Amy Winehouse"/>
        <s v="TV Girl"/>
        <s v="Tanishk Bagchi"/>
        <s v="Dave"/>
        <s v="Avril Lavigne"/>
        <s v="Lost Frequencies"/>
        <s v="Kings of Leon"/>
        <s v="Joan Sebastian"/>
        <s v="Alejandro FernÃ¡ndez"/>
        <s v="Glass Animals"/>
        <s v="Sachin-Jigar"/>
        <s v="Fetty Wap"/>
        <s v="NAV"/>
        <s v="Jack Johnson"/>
        <s v="SEVENTEEN"/>
        <s v="The Script"/>
        <s v="TINI"/>
        <s v="Backstreet Boys"/>
        <s v="Jimin"/>
        <s v="Mambo Kingz"/>
        <s v="NLE Choppa"/>
        <s v="GIMS"/>
        <s v="Calibre 50"/>
        <s v="Chappell Roan"/>
        <s v="Stevie Wonder"/>
        <s v="Juicy J"/>
        <s v="Mark Ronson"/>
        <s v="Kelly Clarkson"/>
        <s v="The Offspring"/>
        <s v="Bonez MC"/>
        <s v="Bibi Blocksberg"/>
        <s v="Milo j"/>
        <s v="Jay Wheeler"/>
        <s v="felix jaehn"/>
        <s v="Niall Horan"/>
        <s v="6ix9ine"/>
        <s v="Nate Dogg"/>
        <s v="Noriel"/>
        <s v="Vicente FernÃ¡ndez"/>
        <s v="Three Days Grace"/>
        <s v="Aerosmith"/>
        <s v="Bee Gees"/>
        <s v="Udit Narayan"/>
        <s v="Piso 21"/>
        <s v="Rod Wave"/>
        <s v="Vance Joy"/>
        <s v="Bon Iver"/>
        <s v="Eslabon Armado"/>
        <s v="JENNIE"/>
        <s v="Russ"/>
        <s v="Rae Sremmurd"/>
        <s v="Jess Glynne"/>
        <s v="The Smiths"/>
        <s v="Eagles"/>
        <s v="The Police"/>
        <s v="Phil Collins"/>
        <s v="The Strokes"/>
        <s v="Atif Aslam"/>
        <s v="Ovy On The Drums"/>
        <s v="Olivia Dean"/>
        <s v="Dire Straits"/>
        <s v="NewJeans"/>
        <s v="Avenged Sevenfold"/>
        <s v="Ricardo Arjona"/>
        <s v="Los Ãngeles Azules"/>
        <s v="Rex Orange County"/>
        <s v="ScHoolboy Q"/>
        <s v="6LACK"/>
        <s v="Disclosure"/>
        <s v="Brytiago"/>
        <s v="Alesso"/>
        <s v="RAF Camora"/>
        <s v="Nelly"/>
        <s v="Mumford &amp; Sons"/>
        <s v="Kumaar"/>
        <s v="Pearl Jam"/>
        <s v="Zion"/>
        <s v="Ryan Castro"/>
        <s v="Nelly Furtado"/>
        <s v="Wesley SafadÃ£o"/>
        <s v="Disturbed"/>
        <s v="H.E.R."/>
        <s v="Rita Ora"/>
        <s v="Kevin Gates"/>
        <s v="beabadoobee"/>
        <s v="Karan Aujla"/>
        <s v="CÃ©line Dion"/>
        <s v="Bryan Adams"/>
        <s v="ENHYPEN"/>
        <s v="Dominic Fike"/>
        <s v="Ana Castela"/>
        <s v="LANY"/>
        <s v="Johnny Cash"/>
        <s v="B.o.B"/>
        <s v="Jason Aldean"/>
        <s v="Luan Santana"/>
        <s v="KHEA"/>
        <s v="Maiara &amp; Maraisa"/>
        <s v="Mc IG"/>
        <s v="Tiago PZK"/>
        <s v="Tom Odell"/>
        <s v="Macklemore &amp; Ryan Lewis"/>
        <s v="Thomas Rhett"/>
        <s v="MÃ˜"/>
        <s v="Five Finger Death Punch"/>
        <s v="Kane Brown"/>
        <s v="Laufey"/>
        <s v="Grupo Menos Ã‰ Mais"/>
        <s v="Nicki Nicole"/>
        <s v="Moneybagg Yo"/>
        <s v="Magenta"/>
        <s v="Ryan Lewis"/>
        <s v="Morad"/>
        <s v="Calum Scott"/>
        <s v="TOMORROW X TOGETHER"/>
        <s v="Grupo Marca Registrada"/>
        <s v="benny blanco"/>
        <s v="JID"/>
        <s v="YNW Melly"/>
        <s v="Juan Gabriel"/>
        <s v="Los Temerarios"/>
        <s v="Jason Mraz"/>
        <s v="The Cure"/>
        <s v="The MarÃ­as"/>
        <s v="Limp Bizkit"/>
        <s v="Korn"/>
        <s v="Omar Courtz"/>
      </sharedItems>
    </cacheField>
    <cacheField name="Gender" numFmtId="0">
      <sharedItems count="3">
        <s v="Male"/>
        <s v="Female"/>
        <s v="Mixed"/>
      </sharedItems>
    </cacheField>
    <cacheField name="Country of Origin" numFmtId="0">
      <sharedItems count="43">
        <s v="Canada"/>
        <s v="United States"/>
        <s v="United Kingdom"/>
        <s v="Barbados"/>
        <s v="Colombia"/>
        <s v="South Korea"/>
        <s v="Trinidad and Tobago"/>
        <s v="France"/>
        <s v="India"/>
        <s v="Scotland"/>
        <s v="Mexico"/>
        <s v="Australia"/>
        <s v="Germany"/>
        <s v="Cuba"/>
        <s v="Sweden"/>
        <s v="Norway"/>
        <s v="Panama"/>
        <s v="Brazil"/>
        <s v="Netherlands"/>
        <s v="Jamaica"/>
        <s v="Senegal"/>
        <s v="Ireland"/>
        <s v="Argentina"/>
        <s v="Spain"/>
        <s v="Japan"/>
        <s v="New Zealand"/>
        <s v="Morocco"/>
        <s v="Chile"/>
        <s v="Russia"/>
        <s v="Nigeria"/>
        <s v="South Africa"/>
        <s v="Venezuela"/>
        <s v="Italy"/>
        <s v="Dominican Republic"/>
        <s v="Belgium"/>
        <s v="DR Congo"/>
        <s v="Nepal"/>
        <s v="Pakistan"/>
        <s v="Guatemala"/>
        <s v="Austria"/>
        <s v="Philippines"/>
        <s v="Denmark"/>
        <s v="Iceland"/>
      </sharedItems>
    </cacheField>
    <cacheField name="Primary Language" numFmtId="0">
      <sharedItems count="11">
        <s v="English"/>
        <s v="Spanish"/>
        <s v="Korean"/>
        <s v="Hindi"/>
        <s v="German"/>
        <s v="Portuguese"/>
        <s v="Tamil"/>
        <s v="French"/>
        <s v="Italian"/>
        <s v="Urdu"/>
        <s v="Punjabi"/>
      </sharedItems>
    </cacheField>
    <cacheField name="Primary Genre" numFmtId="0">
      <sharedItems count="23">
        <s v="Hip-Hop"/>
        <s v="Pop"/>
        <s v="Reggaeton"/>
        <s v="R&amp;B"/>
        <s v="K-Pop"/>
        <s v="Rock"/>
        <s v="Alternative"/>
        <s v="EDM"/>
        <s v="Filmi"/>
        <s v="Latin"/>
        <s v="Regional Mexican"/>
        <s v="Country"/>
        <s v="Spoken Word"/>
        <s v="Soundtrack"/>
        <s v="Bachata"/>
        <s v="Sertanjeo"/>
        <s v="Reggae"/>
        <s v="Folk"/>
        <s v="Metal"/>
        <s v="Afrobeats"/>
        <s v="Soul"/>
        <s v="Children's Music"/>
        <s v="Nu Metal"/>
      </sharedItems>
    </cacheField>
    <cacheField name=" Artist Type" numFmtId="0">
      <sharedItems count="2">
        <s v="Solo"/>
        <s v="Group"/>
      </sharedItems>
    </cacheField>
    <cacheField name="Debut Year" numFmtId="0">
      <sharedItems containsSemiMixedTypes="0" containsString="0" containsNumber="1" containsInteger="1" minValue="1939" maxValue="2023" count="61">
        <n v="2006"/>
        <n v="2013"/>
        <n v="2009"/>
        <n v="2004"/>
        <n v="2011"/>
        <n v="1996"/>
        <n v="2005"/>
        <n v="2015"/>
        <n v="2010"/>
        <n v="2012"/>
        <n v="1999"/>
        <n v="2007"/>
        <n v="1990"/>
        <n v="1991"/>
        <n v="2014"/>
        <n v="1997"/>
        <n v="2008"/>
        <n v="2017"/>
        <n v="2002"/>
        <n v="2016"/>
        <n v="2003"/>
        <n v="2000"/>
        <n v="2020"/>
        <n v="1973"/>
        <n v="2021"/>
        <n v="2001"/>
        <n v="2018"/>
        <n v="2019"/>
        <n v="1962"/>
        <n v="1995"/>
        <n v="1964"/>
        <n v="1979"/>
        <n v="1949"/>
        <n v="1984"/>
        <n v="1993"/>
        <n v="1969"/>
        <n v="1983"/>
        <n v="1994"/>
        <n v="1982"/>
        <n v="1975"/>
        <n v="1967"/>
        <n v="1992"/>
        <n v="1989"/>
        <n v="1998"/>
        <n v="2023"/>
        <n v="2022"/>
        <n v="1985"/>
        <n v="1972"/>
        <n v="1939"/>
        <n v="1954"/>
        <n v="1968"/>
        <n v="1988"/>
        <n v="1987"/>
        <n v="1971"/>
        <n v="1980"/>
        <n v="1977"/>
        <n v="1966"/>
        <n v="1963"/>
        <n v="1981"/>
        <n v="1978"/>
        <n v="1955"/>
      </sharedItems>
    </cacheField>
    <cacheField name="Total Streams (in millions)" numFmtId="0">
      <sharedItems containsSemiMixedTypes="0" containsString="0" containsNumber="1" containsInteger="1" minValue="6972" maxValue="137492"/>
    </cacheField>
    <cacheField name="Lead Streams (in millions)" numFmtId="0">
      <sharedItems containsSemiMixedTypes="0" containsString="0" containsNumber="1" containsInteger="1" minValue="0" maxValue="126177"/>
    </cacheField>
    <cacheField name="Feature Streams (in millions)" numFmtId="0">
      <sharedItems containsSemiMixedTypes="0" containsString="0" containsNumber="1" containsInteger="1" minValue="0" maxValue="43710" count="451">
        <n v="42641"/>
        <n v="1684"/>
        <n v="43710"/>
        <n v="18514"/>
        <n v="29788"/>
        <n v="11201"/>
        <n v="30027"/>
        <n v="18584"/>
        <n v="6968"/>
        <n v="10101"/>
        <n v="15846"/>
        <n v="889"/>
        <n v="16013"/>
        <n v="15725"/>
        <n v="6236"/>
        <n v="29334"/>
        <n v="26072"/>
        <n v="5339"/>
        <n v="27419"/>
        <n v="3901"/>
        <n v="12155"/>
        <n v="19524"/>
        <n v="27028"/>
        <n v="3987"/>
        <n v="11325"/>
        <n v="13688"/>
        <n v="21650"/>
        <n v="15858"/>
        <n v="22119"/>
        <n v="5999"/>
        <n v="2283"/>
        <n v="24280"/>
        <n v="23156"/>
        <n v="13627"/>
        <n v="24385"/>
        <n v="572"/>
        <n v="7962"/>
        <n v="17172"/>
        <n v="223"/>
        <n v="17234"/>
        <n v="5325"/>
        <n v="15405"/>
        <n v="15774"/>
        <n v="2298"/>
        <n v="19615"/>
        <n v="1798"/>
        <n v="14501"/>
        <n v="7876"/>
        <n v="11007"/>
        <n v="10588"/>
        <n v="5651"/>
        <n v="7172"/>
        <n v="4600"/>
        <n v="20472"/>
        <n v="21237"/>
        <n v="699"/>
        <n v="0"/>
        <n v="71"/>
        <n v="5078"/>
        <n v="14912"/>
        <n v="2"/>
        <n v="3362"/>
        <n v="2978"/>
        <n v="15716"/>
        <n v="7652"/>
        <n v="9084"/>
        <n v="3209"/>
        <n v="10884"/>
        <n v="21395"/>
        <n v="7641"/>
        <n v="14672"/>
        <n v="10447"/>
        <n v="11792"/>
        <n v="13549"/>
        <n v="909"/>
        <n v="2114"/>
        <n v="4392"/>
        <n v="82"/>
        <n v="11140"/>
        <n v="9504"/>
        <n v="3176"/>
        <n v="1190"/>
        <n v="6122"/>
        <n v="11667"/>
        <n v="269"/>
        <n v="21967"/>
        <n v="13023"/>
        <n v="9186"/>
        <n v="852"/>
        <n v="1670"/>
        <n v="867"/>
        <n v="15318"/>
        <n v="12891"/>
        <n v="6311"/>
        <n v="6342"/>
        <n v="6316"/>
        <n v="4842"/>
        <n v="1328"/>
        <n v="10617"/>
        <n v="7494"/>
        <n v="47"/>
        <n v="1883"/>
        <n v="12015"/>
        <n v="14"/>
        <n v="16406"/>
        <n v="3360"/>
        <n v="1647"/>
        <n v="1662"/>
        <n v="10429"/>
        <n v="7127"/>
        <n v="1823"/>
        <n v="801"/>
        <n v="78"/>
        <n v="3601"/>
        <n v="5896"/>
        <n v="3673"/>
        <n v="5115"/>
        <n v="4569"/>
        <n v="8539"/>
        <n v="10665"/>
        <n v="7647"/>
        <n v="5997"/>
        <n v="4116"/>
        <n v="9928"/>
        <n v="1211"/>
        <n v="11512"/>
        <n v="7014"/>
        <n v="20"/>
        <n v="5499"/>
        <n v="9060"/>
        <n v="6019"/>
        <n v="6498"/>
        <n v="3019"/>
        <n v="5455"/>
        <n v="642"/>
        <n v="5198"/>
        <n v="3"/>
        <n v="4364"/>
        <n v="1493"/>
        <n v="9125"/>
        <n v="1588"/>
        <n v="2048"/>
        <n v="1298"/>
        <n v="4425"/>
        <n v="11957"/>
        <n v="3896"/>
        <n v="2982"/>
        <n v="528"/>
        <n v="15244"/>
        <n v="13704"/>
        <n v="7799"/>
        <n v="2427"/>
        <n v="1874"/>
        <n v="7784"/>
        <n v="4375"/>
        <n v="118"/>
        <n v="8481"/>
        <n v="2067"/>
        <n v="4398"/>
        <n v="3519"/>
        <n v="4484"/>
        <n v="10062"/>
        <n v="162"/>
        <n v="136"/>
        <n v="2450"/>
        <n v="6090"/>
        <n v="7779"/>
        <n v="4479"/>
        <n v="4376"/>
        <n v="938"/>
        <n v="3796"/>
        <n v="1275"/>
        <n v="3391"/>
        <n v="990"/>
        <n v="9988"/>
        <n v="1165"/>
        <n v="6698"/>
        <n v="2609"/>
        <n v="4859"/>
        <n v="6216"/>
        <n v="2993"/>
        <n v="462"/>
        <n v="23"/>
        <n v="5915"/>
        <n v="5704"/>
        <n v="13049"/>
        <n v="9888"/>
        <n v="4587"/>
        <n v="156"/>
        <n v="2462"/>
        <n v="7030"/>
        <n v="1258"/>
        <n v="728"/>
        <n v="5684"/>
        <n v="3932"/>
        <n v="3541"/>
        <n v="1250"/>
        <n v="1073"/>
        <n v="1790"/>
        <n v="4360"/>
        <n v="4756"/>
        <n v="3183"/>
        <n v="978"/>
        <n v="8580"/>
        <n v="1604"/>
        <n v="1077"/>
        <n v="5460"/>
        <n v="60"/>
        <n v="2516"/>
        <n v="4217"/>
        <n v="6998"/>
        <n v="1853"/>
        <n v="7289"/>
        <n v="7786"/>
        <n v="766"/>
        <n v="4272"/>
        <n v="10073"/>
        <n v="125"/>
        <n v="4423"/>
        <n v="1256"/>
        <n v="715"/>
        <n v="6331"/>
        <n v="30"/>
        <n v="7659"/>
        <n v="422"/>
        <n v="5146"/>
        <n v="7982"/>
        <n v="1925"/>
        <n v="3282"/>
        <n v="3570"/>
        <n v="12136"/>
        <n v="3755"/>
        <n v="4279"/>
        <n v="1167"/>
        <n v="1768"/>
        <n v="1953"/>
        <n v="4369"/>
        <n v="2088"/>
        <n v="1099"/>
        <n v="689"/>
        <n v="10305"/>
        <n v="5576"/>
        <n v="8366"/>
        <n v="4349"/>
        <n v="3244"/>
        <n v="7519"/>
        <n v="4400"/>
        <n v="3868"/>
        <n v="45"/>
        <n v="6629"/>
        <n v="1584"/>
        <n v="5873"/>
        <n v="911"/>
        <n v="7882"/>
        <n v="5005"/>
        <n v="5236"/>
        <n v="11025"/>
        <n v="1474"/>
        <n v="5977"/>
        <n v="1615"/>
        <n v="38"/>
        <n v="1722"/>
        <n v="3373"/>
        <n v="64"/>
        <n v="10181"/>
        <n v="1"/>
        <n v="8878"/>
        <n v="134"/>
        <n v="2980"/>
        <n v="4507"/>
        <n v="4663"/>
        <n v="334"/>
        <n v="2317"/>
        <n v="599"/>
        <n v="93"/>
        <n v="4"/>
        <n v="302"/>
        <n v="6499"/>
        <n v="3395"/>
        <n v="1201"/>
        <n v="8415"/>
        <n v="3010"/>
        <n v="172"/>
        <n v="4284"/>
        <n v="8004"/>
        <n v="2138"/>
        <n v="2685"/>
        <n v="3750"/>
        <n v="1313"/>
        <n v="2082"/>
        <n v="89"/>
        <n v="1068"/>
        <n v="1988"/>
        <n v="1782"/>
        <n v="3508"/>
        <n v="6592"/>
        <n v="5843"/>
        <n v="6"/>
        <n v="3690"/>
        <n v="3432"/>
        <n v="4976"/>
        <n v="5033"/>
        <n v="1197"/>
        <n v="543"/>
        <n v="5425"/>
        <n v="4126"/>
        <n v="461"/>
        <n v="4061"/>
        <n v="63"/>
        <n v="186"/>
        <n v="7046"/>
        <n v="3012"/>
        <n v="4949"/>
        <n v="3332"/>
        <n v="713"/>
        <n v="5102"/>
        <n v="2658"/>
        <n v="3905"/>
        <n v="3497"/>
        <n v="40"/>
        <n v="8"/>
        <n v="1461"/>
        <n v="1564"/>
        <n v="1237"/>
        <n v="4167"/>
        <n v="1579"/>
        <n v="487"/>
        <n v="4524"/>
        <n v="5604"/>
        <n v="3944"/>
        <n v="6103"/>
        <n v="2587"/>
        <n v="5398"/>
        <n v="190"/>
        <n v="845"/>
        <n v="2068"/>
        <n v="751"/>
        <n v="4682"/>
        <n v="1840"/>
        <n v="1268"/>
        <n v="3123"/>
        <n v="7581"/>
        <n v="548"/>
        <n v="933"/>
        <n v="5745"/>
        <n v="1072"/>
        <n v="233"/>
        <n v="386"/>
        <n v="54"/>
        <n v="98"/>
        <n v="900"/>
        <n v="15"/>
        <n v="1843"/>
        <n v="3001"/>
        <n v="2945"/>
        <n v="355"/>
        <n v="70"/>
        <n v="29"/>
        <n v="2696"/>
        <n v="346"/>
        <n v="657"/>
        <n v="8088"/>
        <n v="1885"/>
        <n v="1509"/>
        <n v="603"/>
        <n v="648"/>
        <n v="6487"/>
        <n v="2210"/>
        <n v="477"/>
        <n v="3630"/>
        <n v="2724"/>
        <n v="1607"/>
        <n v="3390"/>
        <n v="4694"/>
        <n v="1395"/>
        <n v="6999"/>
        <n v="7456"/>
        <n v="204"/>
        <n v="225"/>
        <n v="979"/>
        <n v="121"/>
        <n v="4790"/>
        <n v="776"/>
        <n v="340"/>
        <n v="177"/>
        <n v="906"/>
        <n v="2525"/>
        <n v="3648"/>
        <n v="365"/>
        <n v="754"/>
        <n v="4923"/>
        <n v="3299"/>
        <n v="5906"/>
        <n v="508"/>
        <n v="299"/>
        <n v="5"/>
        <n v="707"/>
        <n v="311"/>
        <n v="928"/>
        <n v="3227"/>
        <n v="4235"/>
        <n v="1802"/>
        <n v="5065"/>
        <n v="4268"/>
        <n v="1288"/>
        <n v="7599"/>
        <n v="5948"/>
        <n v="3448"/>
        <n v="975"/>
        <n v="2361"/>
        <n v="3807"/>
        <n v="4021"/>
        <n v="1316"/>
        <n v="2144"/>
        <n v="1335"/>
        <n v="450"/>
        <n v="1568"/>
        <n v="328"/>
        <n v="736"/>
        <n v="26"/>
        <n v="4942"/>
        <n v="961"/>
        <n v="1059"/>
        <n v="320"/>
        <n v="2767"/>
        <n v="1014"/>
        <n v="3934"/>
        <n v="4581"/>
        <n v="3113"/>
        <n v="3484"/>
        <n v="644"/>
        <n v="3422"/>
        <n v="602"/>
        <n v="5664"/>
        <n v="2610"/>
        <n v="456"/>
        <n v="4786"/>
        <n v="2668"/>
        <n v="7240"/>
        <n v="7238"/>
        <n v="3906"/>
        <n v="2505"/>
        <n v="305"/>
        <n v="1528"/>
        <n v="2716"/>
        <n v="4191"/>
        <n v="557"/>
        <n v="447"/>
        <n v="199"/>
        <n v="1261"/>
        <n v="2798"/>
      </sharedItems>
    </cacheField>
    <cacheField name="Solo Streams (in millions)" numFmtId="0">
      <sharedItems containsSemiMixedTypes="0" containsString="0" containsNumber="1" containsInteger="1" minValue="0" maxValue="113422"/>
    </cacheField>
    <cacheField name="% of Solo Streams" numFmtId="0">
      <sharedItems containsSemiMixedTypes="0" containsString="0" containsNumber="1" containsInteger="1" minValue="0" maxValue="100"/>
    </cacheField>
    <cacheField name="Collaborative Streams (in millions)" numFmtId="0">
      <sharedItems containsSemiMixedTypes="0" containsString="0" containsNumber="1" containsInteger="1" minValue="0" maxValue="84168"/>
    </cacheField>
    <cacheField name="% of Collaborative Streams" numFmtId="0">
      <sharedItems containsSemiMixedTypes="0" containsString="0" containsNumber="1" containsInteger="1" minValue="0" maxValue="100"/>
    </cacheField>
  </cacheFields>
  <extLst>
    <ext xmlns:x14="http://schemas.microsoft.com/office/spreadsheetml/2009/9/main" uri="{725AE2AE-9491-48be-B2B4-4EB974FC3084}">
      <x14:pivotCacheDefinition pivotCacheId="1291515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n v="137492"/>
    <n v="94851"/>
    <x v="0"/>
    <n v="53324"/>
    <n v="39"/>
    <n v="84168"/>
    <n v="61"/>
  </r>
  <r>
    <x v="1"/>
    <x v="1"/>
    <x v="1"/>
    <x v="0"/>
    <x v="1"/>
    <x v="0"/>
    <x v="0"/>
    <n v="127861"/>
    <n v="126177"/>
    <x v="1"/>
    <n v="113422"/>
    <n v="89"/>
    <n v="14440"/>
    <n v="11"/>
  </r>
  <r>
    <x v="2"/>
    <x v="0"/>
    <x v="1"/>
    <x v="1"/>
    <x v="2"/>
    <x v="0"/>
    <x v="1"/>
    <n v="125900"/>
    <n v="82189"/>
    <x v="2"/>
    <n v="48887"/>
    <n v="39"/>
    <n v="77013"/>
    <n v="61"/>
  </r>
  <r>
    <x v="3"/>
    <x v="0"/>
    <x v="0"/>
    <x v="0"/>
    <x v="3"/>
    <x v="0"/>
    <x v="2"/>
    <n v="95703"/>
    <n v="77189"/>
    <x v="3"/>
    <n v="51020"/>
    <n v="53"/>
    <n v="44683"/>
    <n v="47"/>
  </r>
  <r>
    <x v="4"/>
    <x v="0"/>
    <x v="0"/>
    <x v="0"/>
    <x v="1"/>
    <x v="0"/>
    <x v="2"/>
    <n v="78104"/>
    <n v="48316"/>
    <x v="4"/>
    <n v="29638"/>
    <n v="38"/>
    <n v="48466"/>
    <n v="62"/>
  </r>
  <r>
    <x v="5"/>
    <x v="1"/>
    <x v="1"/>
    <x v="0"/>
    <x v="1"/>
    <x v="0"/>
    <x v="1"/>
    <n v="68299"/>
    <n v="57098"/>
    <x v="5"/>
    <n v="41616"/>
    <n v="61"/>
    <n v="26683"/>
    <n v="39"/>
  </r>
  <r>
    <x v="6"/>
    <x v="0"/>
    <x v="1"/>
    <x v="0"/>
    <x v="0"/>
    <x v="0"/>
    <x v="1"/>
    <n v="65350"/>
    <n v="35339"/>
    <x v="6"/>
    <n v="25310"/>
    <n v="39"/>
    <n v="40040"/>
    <n v="61"/>
  </r>
  <r>
    <x v="7"/>
    <x v="0"/>
    <x v="1"/>
    <x v="0"/>
    <x v="0"/>
    <x v="0"/>
    <x v="3"/>
    <n v="65143"/>
    <n v="46558"/>
    <x v="7"/>
    <n v="28473"/>
    <n v="44"/>
    <n v="36670"/>
    <n v="56"/>
  </r>
  <r>
    <x v="8"/>
    <x v="0"/>
    <x v="2"/>
    <x v="0"/>
    <x v="1"/>
    <x v="0"/>
    <x v="4"/>
    <n v="64657"/>
    <n v="57704"/>
    <x v="8"/>
    <n v="46700"/>
    <n v="72"/>
    <n v="17957"/>
    <n v="28"/>
  </r>
  <r>
    <x v="9"/>
    <x v="0"/>
    <x v="1"/>
    <x v="0"/>
    <x v="0"/>
    <x v="0"/>
    <x v="5"/>
    <n v="64549"/>
    <n v="54467"/>
    <x v="9"/>
    <n v="32940"/>
    <n v="51"/>
    <n v="31609"/>
    <n v="49"/>
  </r>
  <r>
    <x v="10"/>
    <x v="1"/>
    <x v="3"/>
    <x v="0"/>
    <x v="1"/>
    <x v="0"/>
    <x v="6"/>
    <n v="60671"/>
    <n v="44824"/>
    <x v="10"/>
    <n v="30262"/>
    <n v="50"/>
    <n v="30409"/>
    <n v="50"/>
  </r>
  <r>
    <x v="11"/>
    <x v="1"/>
    <x v="1"/>
    <x v="0"/>
    <x v="1"/>
    <x v="0"/>
    <x v="7"/>
    <n v="58050"/>
    <n v="57160"/>
    <x v="11"/>
    <n v="51568"/>
    <n v="89"/>
    <n v="6482"/>
    <n v="11"/>
  </r>
  <r>
    <x v="12"/>
    <x v="0"/>
    <x v="1"/>
    <x v="0"/>
    <x v="1"/>
    <x v="0"/>
    <x v="8"/>
    <n v="56727"/>
    <n v="40714"/>
    <x v="12"/>
    <n v="33618"/>
    <n v="59"/>
    <n v="23109"/>
    <n v="41"/>
  </r>
  <r>
    <x v="13"/>
    <x v="0"/>
    <x v="1"/>
    <x v="0"/>
    <x v="0"/>
    <x v="0"/>
    <x v="2"/>
    <n v="56460"/>
    <n v="40752"/>
    <x v="13"/>
    <n v="23404"/>
    <n v="41"/>
    <n v="33056"/>
    <n v="59"/>
  </r>
  <r>
    <x v="14"/>
    <x v="0"/>
    <x v="1"/>
    <x v="0"/>
    <x v="1"/>
    <x v="0"/>
    <x v="4"/>
    <n v="55028"/>
    <n v="48806"/>
    <x v="14"/>
    <n v="25419"/>
    <n v="46"/>
    <n v="29609"/>
    <n v="54"/>
  </r>
  <r>
    <x v="15"/>
    <x v="0"/>
    <x v="4"/>
    <x v="1"/>
    <x v="2"/>
    <x v="0"/>
    <x v="3"/>
    <n v="54649"/>
    <n v="25333"/>
    <x v="15"/>
    <n v="7844"/>
    <n v="14"/>
    <n v="46805"/>
    <n v="86"/>
  </r>
  <r>
    <x v="16"/>
    <x v="0"/>
    <x v="1"/>
    <x v="0"/>
    <x v="0"/>
    <x v="0"/>
    <x v="8"/>
    <n v="53952"/>
    <n v="27879"/>
    <x v="16"/>
    <n v="12648"/>
    <n v="23"/>
    <n v="41304"/>
    <n v="77"/>
  </r>
  <r>
    <x v="17"/>
    <x v="0"/>
    <x v="5"/>
    <x v="2"/>
    <x v="4"/>
    <x v="1"/>
    <x v="1"/>
    <n v="53309"/>
    <n v="47970"/>
    <x v="17"/>
    <n v="44114"/>
    <n v="83"/>
    <n v="9194"/>
    <n v="17"/>
  </r>
  <r>
    <x v="18"/>
    <x v="0"/>
    <x v="1"/>
    <x v="1"/>
    <x v="2"/>
    <x v="0"/>
    <x v="9"/>
    <n v="47649"/>
    <n v="20247"/>
    <x v="18"/>
    <n v="8621"/>
    <n v="18"/>
    <n v="39028"/>
    <n v="82"/>
  </r>
  <r>
    <x v="19"/>
    <x v="0"/>
    <x v="2"/>
    <x v="0"/>
    <x v="5"/>
    <x v="1"/>
    <x v="10"/>
    <n v="46720"/>
    <n v="42837"/>
    <x v="19"/>
    <n v="38535"/>
    <n v="82"/>
    <n v="8185"/>
    <n v="18"/>
  </r>
  <r>
    <x v="20"/>
    <x v="0"/>
    <x v="1"/>
    <x v="0"/>
    <x v="0"/>
    <x v="0"/>
    <x v="7"/>
    <n v="46276"/>
    <n v="34132"/>
    <x v="20"/>
    <n v="26676"/>
    <n v="58"/>
    <n v="19601"/>
    <n v="42"/>
  </r>
  <r>
    <x v="21"/>
    <x v="0"/>
    <x v="1"/>
    <x v="0"/>
    <x v="3"/>
    <x v="0"/>
    <x v="6"/>
    <n v="43964"/>
    <n v="24456"/>
    <x v="21"/>
    <n v="12219"/>
    <n v="28"/>
    <n v="31744"/>
    <n v="72"/>
  </r>
  <r>
    <x v="22"/>
    <x v="1"/>
    <x v="6"/>
    <x v="0"/>
    <x v="0"/>
    <x v="0"/>
    <x v="11"/>
    <n v="43330"/>
    <n v="16316"/>
    <x v="22"/>
    <n v="9618"/>
    <n v="22"/>
    <n v="33712"/>
    <n v="78"/>
  </r>
  <r>
    <x v="23"/>
    <x v="1"/>
    <x v="1"/>
    <x v="0"/>
    <x v="6"/>
    <x v="0"/>
    <x v="8"/>
    <n v="42464"/>
    <n v="38477"/>
    <x v="23"/>
    <n v="34578"/>
    <n v="81"/>
    <n v="7886"/>
    <n v="19"/>
  </r>
  <r>
    <x v="24"/>
    <x v="0"/>
    <x v="7"/>
    <x v="0"/>
    <x v="7"/>
    <x v="0"/>
    <x v="12"/>
    <n v="42060"/>
    <n v="30751"/>
    <x v="24"/>
    <n v="407"/>
    <n v="1"/>
    <n v="41653"/>
    <n v="99"/>
  </r>
  <r>
    <x v="25"/>
    <x v="1"/>
    <x v="2"/>
    <x v="0"/>
    <x v="1"/>
    <x v="0"/>
    <x v="7"/>
    <n v="41944"/>
    <n v="28270"/>
    <x v="25"/>
    <n v="23134"/>
    <n v="55"/>
    <n v="18810"/>
    <n v="45"/>
  </r>
  <r>
    <x v="26"/>
    <x v="0"/>
    <x v="1"/>
    <x v="1"/>
    <x v="2"/>
    <x v="0"/>
    <x v="13"/>
    <n v="41405"/>
    <n v="19772"/>
    <x v="26"/>
    <n v="10693"/>
    <n v="26"/>
    <n v="30713"/>
    <n v="74"/>
  </r>
  <r>
    <x v="27"/>
    <x v="0"/>
    <x v="1"/>
    <x v="1"/>
    <x v="2"/>
    <x v="0"/>
    <x v="14"/>
    <n v="40739"/>
    <n v="24898"/>
    <x v="27"/>
    <n v="10432"/>
    <n v="26"/>
    <n v="30306"/>
    <n v="74"/>
  </r>
  <r>
    <x v="28"/>
    <x v="0"/>
    <x v="1"/>
    <x v="1"/>
    <x v="2"/>
    <x v="0"/>
    <x v="4"/>
    <n v="40453"/>
    <n v="18356"/>
    <x v="28"/>
    <n v="6177"/>
    <n v="15"/>
    <n v="34276"/>
    <n v="85"/>
  </r>
  <r>
    <x v="29"/>
    <x v="0"/>
    <x v="1"/>
    <x v="0"/>
    <x v="0"/>
    <x v="0"/>
    <x v="1"/>
    <n v="40411"/>
    <n v="34420"/>
    <x v="29"/>
    <n v="28138"/>
    <n v="70"/>
    <n v="12273"/>
    <n v="30"/>
  </r>
  <r>
    <x v="30"/>
    <x v="0"/>
    <x v="1"/>
    <x v="0"/>
    <x v="5"/>
    <x v="1"/>
    <x v="9"/>
    <n v="40280"/>
    <n v="38007"/>
    <x v="30"/>
    <n v="33880"/>
    <n v="84"/>
    <n v="6399"/>
    <n v="16"/>
  </r>
  <r>
    <x v="31"/>
    <x v="0"/>
    <x v="1"/>
    <x v="0"/>
    <x v="0"/>
    <x v="0"/>
    <x v="15"/>
    <n v="40148"/>
    <n v="15870"/>
    <x v="31"/>
    <n v="4051"/>
    <n v="10"/>
    <n v="36097"/>
    <n v="90"/>
  </r>
  <r>
    <x v="32"/>
    <x v="0"/>
    <x v="2"/>
    <x v="0"/>
    <x v="0"/>
    <x v="0"/>
    <x v="14"/>
    <n v="39024"/>
    <n v="15878"/>
    <x v="32"/>
    <n v="7883"/>
    <n v="20"/>
    <n v="31141"/>
    <n v="80"/>
  </r>
  <r>
    <x v="33"/>
    <x v="1"/>
    <x v="1"/>
    <x v="0"/>
    <x v="3"/>
    <x v="0"/>
    <x v="9"/>
    <n v="38880"/>
    <n v="25268"/>
    <x v="33"/>
    <n v="19805"/>
    <n v="51"/>
    <n v="19075"/>
    <n v="49"/>
  </r>
  <r>
    <x v="34"/>
    <x v="0"/>
    <x v="8"/>
    <x v="3"/>
    <x v="8"/>
    <x v="0"/>
    <x v="4"/>
    <n v="37688"/>
    <n v="13330"/>
    <x v="34"/>
    <n v="4537"/>
    <n v="12"/>
    <n v="33150"/>
    <n v="88"/>
  </r>
  <r>
    <x v="35"/>
    <x v="1"/>
    <x v="1"/>
    <x v="0"/>
    <x v="1"/>
    <x v="0"/>
    <x v="16"/>
    <n v="37565"/>
    <n v="37010"/>
    <x v="35"/>
    <n v="23546"/>
    <n v="63"/>
    <n v="14019"/>
    <n v="37"/>
  </r>
  <r>
    <x v="36"/>
    <x v="1"/>
    <x v="4"/>
    <x v="1"/>
    <x v="2"/>
    <x v="0"/>
    <x v="11"/>
    <n v="37550"/>
    <n v="29604"/>
    <x v="36"/>
    <n v="14790"/>
    <n v="39"/>
    <n v="22759"/>
    <n v="61"/>
  </r>
  <r>
    <x v="37"/>
    <x v="0"/>
    <x v="1"/>
    <x v="0"/>
    <x v="0"/>
    <x v="0"/>
    <x v="17"/>
    <n v="35932"/>
    <n v="18774"/>
    <x v="37"/>
    <n v="8929"/>
    <n v="25"/>
    <n v="27003"/>
    <n v="75"/>
  </r>
  <r>
    <x v="38"/>
    <x v="2"/>
    <x v="1"/>
    <x v="0"/>
    <x v="1"/>
    <x v="1"/>
    <x v="18"/>
    <n v="35794"/>
    <n v="35586"/>
    <x v="38"/>
    <n v="23312"/>
    <n v="65"/>
    <n v="12482"/>
    <n v="35"/>
  </r>
  <r>
    <x v="39"/>
    <x v="0"/>
    <x v="1"/>
    <x v="0"/>
    <x v="3"/>
    <x v="0"/>
    <x v="19"/>
    <n v="35727"/>
    <n v="18500"/>
    <x v="39"/>
    <n v="12521"/>
    <n v="35"/>
    <n v="23207"/>
    <n v="65"/>
  </r>
  <r>
    <x v="40"/>
    <x v="1"/>
    <x v="1"/>
    <x v="0"/>
    <x v="1"/>
    <x v="0"/>
    <x v="20"/>
    <n v="34975"/>
    <n v="29663"/>
    <x v="40"/>
    <n v="21864"/>
    <n v="63"/>
    <n v="13111"/>
    <n v="37"/>
  </r>
  <r>
    <x v="41"/>
    <x v="0"/>
    <x v="4"/>
    <x v="1"/>
    <x v="9"/>
    <x v="0"/>
    <x v="8"/>
    <n v="34841"/>
    <n v="19450"/>
    <x v="41"/>
    <n v="11616"/>
    <n v="33"/>
    <n v="23225"/>
    <n v="67"/>
  </r>
  <r>
    <x v="42"/>
    <x v="0"/>
    <x v="4"/>
    <x v="1"/>
    <x v="2"/>
    <x v="0"/>
    <x v="7"/>
    <n v="34579"/>
    <n v="18726"/>
    <x v="42"/>
    <n v="9877"/>
    <n v="29"/>
    <n v="24702"/>
    <n v="71"/>
  </r>
  <r>
    <x v="43"/>
    <x v="0"/>
    <x v="9"/>
    <x v="0"/>
    <x v="7"/>
    <x v="0"/>
    <x v="11"/>
    <n v="34130"/>
    <n v="31846"/>
    <x v="43"/>
    <n v="5999"/>
    <n v="18"/>
    <n v="28131"/>
    <n v="82"/>
  </r>
  <r>
    <x v="44"/>
    <x v="0"/>
    <x v="1"/>
    <x v="1"/>
    <x v="2"/>
    <x v="0"/>
    <x v="19"/>
    <n v="33621"/>
    <n v="14022"/>
    <x v="44"/>
    <n v="9407"/>
    <n v="28"/>
    <n v="24214"/>
    <n v="72"/>
  </r>
  <r>
    <x v="45"/>
    <x v="2"/>
    <x v="1"/>
    <x v="0"/>
    <x v="5"/>
    <x v="1"/>
    <x v="21"/>
    <n v="33225"/>
    <n v="31427"/>
    <x v="45"/>
    <n v="30151"/>
    <n v="91"/>
    <n v="3074"/>
    <n v="9"/>
  </r>
  <r>
    <x v="46"/>
    <x v="0"/>
    <x v="10"/>
    <x v="1"/>
    <x v="10"/>
    <x v="0"/>
    <x v="22"/>
    <n v="33180"/>
    <n v="18699"/>
    <x v="46"/>
    <n v="3938"/>
    <n v="12"/>
    <n v="29242"/>
    <n v="88"/>
  </r>
  <r>
    <x v="47"/>
    <x v="0"/>
    <x v="1"/>
    <x v="0"/>
    <x v="0"/>
    <x v="0"/>
    <x v="11"/>
    <n v="32201"/>
    <n v="24335"/>
    <x v="47"/>
    <n v="19000"/>
    <n v="59"/>
    <n v="13201"/>
    <n v="41"/>
  </r>
  <r>
    <x v="48"/>
    <x v="0"/>
    <x v="1"/>
    <x v="0"/>
    <x v="0"/>
    <x v="0"/>
    <x v="14"/>
    <n v="32116"/>
    <n v="21118"/>
    <x v="48"/>
    <n v="16803"/>
    <n v="52"/>
    <n v="15313"/>
    <n v="48"/>
  </r>
  <r>
    <x v="49"/>
    <x v="1"/>
    <x v="11"/>
    <x v="0"/>
    <x v="1"/>
    <x v="0"/>
    <x v="15"/>
    <n v="31642"/>
    <n v="21063"/>
    <x v="49"/>
    <n v="15741"/>
    <n v="50"/>
    <n v="15901"/>
    <n v="50"/>
  </r>
  <r>
    <x v="50"/>
    <x v="1"/>
    <x v="1"/>
    <x v="0"/>
    <x v="1"/>
    <x v="0"/>
    <x v="9"/>
    <n v="31214"/>
    <n v="25574"/>
    <x v="50"/>
    <n v="18797"/>
    <n v="60"/>
    <n v="12417"/>
    <n v="40"/>
  </r>
  <r>
    <x v="51"/>
    <x v="1"/>
    <x v="4"/>
    <x v="1"/>
    <x v="9"/>
    <x v="0"/>
    <x v="13"/>
    <n v="31212"/>
    <n v="24041"/>
    <x v="51"/>
    <n v="11661"/>
    <n v="37"/>
    <n v="19551"/>
    <n v="63"/>
  </r>
  <r>
    <x v="52"/>
    <x v="0"/>
    <x v="1"/>
    <x v="0"/>
    <x v="11"/>
    <x v="0"/>
    <x v="14"/>
    <n v="31171"/>
    <n v="26590"/>
    <x v="52"/>
    <n v="23826"/>
    <n v="76"/>
    <n v="7345"/>
    <n v="24"/>
  </r>
  <r>
    <x v="53"/>
    <x v="0"/>
    <x v="1"/>
    <x v="0"/>
    <x v="0"/>
    <x v="0"/>
    <x v="4"/>
    <n v="30934"/>
    <n v="10464"/>
    <x v="53"/>
    <n v="2792"/>
    <n v="9"/>
    <n v="28142"/>
    <n v="91"/>
  </r>
  <r>
    <x v="54"/>
    <x v="0"/>
    <x v="1"/>
    <x v="1"/>
    <x v="2"/>
    <x v="0"/>
    <x v="2"/>
    <n v="29775"/>
    <n v="8549"/>
    <x v="54"/>
    <n v="4616"/>
    <n v="16"/>
    <n v="25159"/>
    <n v="84"/>
  </r>
  <r>
    <x v="55"/>
    <x v="0"/>
    <x v="0"/>
    <x v="0"/>
    <x v="1"/>
    <x v="0"/>
    <x v="14"/>
    <n v="29471"/>
    <n v="28781"/>
    <x v="55"/>
    <n v="22075"/>
    <n v="75"/>
    <n v="7396"/>
    <n v="25"/>
  </r>
  <r>
    <x v="56"/>
    <x v="0"/>
    <x v="2"/>
    <x v="0"/>
    <x v="1"/>
    <x v="0"/>
    <x v="8"/>
    <n v="29449"/>
    <n v="29463"/>
    <x v="56"/>
    <n v="29449"/>
    <n v="100"/>
    <n v="0"/>
    <n v="0"/>
  </r>
  <r>
    <x v="57"/>
    <x v="0"/>
    <x v="2"/>
    <x v="0"/>
    <x v="5"/>
    <x v="1"/>
    <x v="23"/>
    <n v="29370"/>
    <n v="29308"/>
    <x v="57"/>
    <n v="26932"/>
    <n v="92"/>
    <n v="2438"/>
    <n v="8"/>
  </r>
  <r>
    <x v="58"/>
    <x v="0"/>
    <x v="2"/>
    <x v="0"/>
    <x v="1"/>
    <x v="0"/>
    <x v="9"/>
    <n v="29197"/>
    <n v="24126"/>
    <x v="58"/>
    <n v="17995"/>
    <n v="62"/>
    <n v="11202"/>
    <n v="38"/>
  </r>
  <r>
    <x v="59"/>
    <x v="2"/>
    <x v="2"/>
    <x v="0"/>
    <x v="1"/>
    <x v="1"/>
    <x v="4"/>
    <n v="28890"/>
    <n v="28898"/>
    <x v="56"/>
    <n v="28802"/>
    <n v="100"/>
    <n v="88"/>
    <n v="0"/>
  </r>
  <r>
    <x v="60"/>
    <x v="0"/>
    <x v="1"/>
    <x v="0"/>
    <x v="0"/>
    <x v="0"/>
    <x v="1"/>
    <n v="28849"/>
    <n v="13945"/>
    <x v="59"/>
    <n v="120"/>
    <n v="0"/>
    <n v="28729"/>
    <n v="100"/>
  </r>
  <r>
    <x v="61"/>
    <x v="1"/>
    <x v="1"/>
    <x v="0"/>
    <x v="1"/>
    <x v="0"/>
    <x v="24"/>
    <n v="28800"/>
    <n v="28798"/>
    <x v="60"/>
    <n v="26750"/>
    <n v="93"/>
    <n v="2049"/>
    <n v="7"/>
  </r>
  <r>
    <x v="62"/>
    <x v="1"/>
    <x v="2"/>
    <x v="0"/>
    <x v="1"/>
    <x v="0"/>
    <x v="16"/>
    <n v="28690"/>
    <n v="28700"/>
    <x v="56"/>
    <n v="28538"/>
    <n v="99"/>
    <n v="153"/>
    <n v="1"/>
  </r>
  <r>
    <x v="63"/>
    <x v="0"/>
    <x v="8"/>
    <x v="3"/>
    <x v="1"/>
    <x v="0"/>
    <x v="25"/>
    <n v="28544"/>
    <n v="25181"/>
    <x v="61"/>
    <n v="12"/>
    <n v="0"/>
    <n v="28532"/>
    <n v="100"/>
  </r>
  <r>
    <x v="64"/>
    <x v="1"/>
    <x v="1"/>
    <x v="0"/>
    <x v="1"/>
    <x v="0"/>
    <x v="25"/>
    <n v="28248"/>
    <n v="25288"/>
    <x v="62"/>
    <n v="19630"/>
    <n v="69"/>
    <n v="8618"/>
    <n v="31"/>
  </r>
  <r>
    <x v="65"/>
    <x v="0"/>
    <x v="1"/>
    <x v="0"/>
    <x v="0"/>
    <x v="0"/>
    <x v="1"/>
    <n v="28196"/>
    <n v="12491"/>
    <x v="63"/>
    <n v="7950"/>
    <n v="28"/>
    <n v="20246"/>
    <n v="72"/>
  </r>
  <r>
    <x v="66"/>
    <x v="0"/>
    <x v="2"/>
    <x v="0"/>
    <x v="5"/>
    <x v="1"/>
    <x v="6"/>
    <n v="28155"/>
    <n v="28166"/>
    <x v="56"/>
    <n v="28130"/>
    <n v="100"/>
    <n v="25"/>
    <n v="0"/>
  </r>
  <r>
    <x v="67"/>
    <x v="0"/>
    <x v="1"/>
    <x v="1"/>
    <x v="9"/>
    <x v="1"/>
    <x v="26"/>
    <n v="27467"/>
    <n v="19815"/>
    <x v="64"/>
    <n v="11576"/>
    <n v="42"/>
    <n v="15891"/>
    <n v="58"/>
  </r>
  <r>
    <x v="68"/>
    <x v="0"/>
    <x v="10"/>
    <x v="1"/>
    <x v="10"/>
    <x v="0"/>
    <x v="27"/>
    <n v="27407"/>
    <n v="18341"/>
    <x v="65"/>
    <n v="13659"/>
    <n v="50"/>
    <n v="13748"/>
    <n v="50"/>
  </r>
  <r>
    <x v="69"/>
    <x v="0"/>
    <x v="1"/>
    <x v="0"/>
    <x v="0"/>
    <x v="0"/>
    <x v="2"/>
    <n v="27126"/>
    <n v="23926"/>
    <x v="66"/>
    <n v="11656"/>
    <n v="43"/>
    <n v="15469"/>
    <n v="57"/>
  </r>
  <r>
    <x v="70"/>
    <x v="1"/>
    <x v="1"/>
    <x v="0"/>
    <x v="1"/>
    <x v="0"/>
    <x v="16"/>
    <n v="26895"/>
    <n v="16018"/>
    <x v="67"/>
    <n v="10922"/>
    <n v="41"/>
    <n v="15974"/>
    <n v="59"/>
  </r>
  <r>
    <x v="71"/>
    <x v="0"/>
    <x v="1"/>
    <x v="0"/>
    <x v="3"/>
    <x v="0"/>
    <x v="4"/>
    <n v="26465"/>
    <n v="5074"/>
    <x v="68"/>
    <n v="318"/>
    <n v="1"/>
    <n v="26147"/>
    <n v="99"/>
  </r>
  <r>
    <x v="72"/>
    <x v="0"/>
    <x v="2"/>
    <x v="0"/>
    <x v="5"/>
    <x v="1"/>
    <x v="28"/>
    <n v="26130"/>
    <n v="26139"/>
    <x v="60"/>
    <n v="26123"/>
    <n v="100"/>
    <n v="8"/>
    <n v="0"/>
  </r>
  <r>
    <x v="73"/>
    <x v="0"/>
    <x v="1"/>
    <x v="0"/>
    <x v="1"/>
    <x v="0"/>
    <x v="3"/>
    <n v="25876"/>
    <n v="18251"/>
    <x v="69"/>
    <n v="2322"/>
    <n v="9"/>
    <n v="23554"/>
    <n v="91"/>
  </r>
  <r>
    <x v="74"/>
    <x v="0"/>
    <x v="1"/>
    <x v="1"/>
    <x v="2"/>
    <x v="0"/>
    <x v="29"/>
    <n v="25875"/>
    <n v="11175"/>
    <x v="70"/>
    <n v="2972"/>
    <n v="11"/>
    <n v="22903"/>
    <n v="89"/>
  </r>
  <r>
    <x v="75"/>
    <x v="0"/>
    <x v="1"/>
    <x v="0"/>
    <x v="0"/>
    <x v="0"/>
    <x v="4"/>
    <n v="25818"/>
    <n v="15382"/>
    <x v="71"/>
    <n v="10110"/>
    <n v="39"/>
    <n v="15709"/>
    <n v="61"/>
  </r>
  <r>
    <x v="76"/>
    <x v="1"/>
    <x v="1"/>
    <x v="0"/>
    <x v="1"/>
    <x v="0"/>
    <x v="14"/>
    <n v="25688"/>
    <n v="13902"/>
    <x v="72"/>
    <n v="12376"/>
    <n v="48"/>
    <n v="13311"/>
    <n v="52"/>
  </r>
  <r>
    <x v="77"/>
    <x v="0"/>
    <x v="1"/>
    <x v="0"/>
    <x v="0"/>
    <x v="0"/>
    <x v="0"/>
    <n v="25290"/>
    <n v="11749"/>
    <x v="73"/>
    <n v="4844"/>
    <n v="19"/>
    <n v="20445"/>
    <n v="81"/>
  </r>
  <r>
    <x v="78"/>
    <x v="0"/>
    <x v="1"/>
    <x v="0"/>
    <x v="1"/>
    <x v="0"/>
    <x v="30"/>
    <n v="25264"/>
    <n v="24356"/>
    <x v="74"/>
    <n v="22915"/>
    <n v="91"/>
    <n v="2349"/>
    <n v="9"/>
  </r>
  <r>
    <x v="79"/>
    <x v="1"/>
    <x v="1"/>
    <x v="0"/>
    <x v="1"/>
    <x v="0"/>
    <x v="14"/>
    <n v="24889"/>
    <n v="22790"/>
    <x v="75"/>
    <n v="22549"/>
    <n v="91"/>
    <n v="2339"/>
    <n v="9"/>
  </r>
  <r>
    <x v="80"/>
    <x v="0"/>
    <x v="1"/>
    <x v="0"/>
    <x v="3"/>
    <x v="0"/>
    <x v="4"/>
    <n v="24807"/>
    <n v="20425"/>
    <x v="76"/>
    <n v="18809"/>
    <n v="76"/>
    <n v="5998"/>
    <n v="24"/>
  </r>
  <r>
    <x v="81"/>
    <x v="0"/>
    <x v="12"/>
    <x v="4"/>
    <x v="12"/>
    <x v="1"/>
    <x v="31"/>
    <n v="24607"/>
    <n v="24525"/>
    <x v="77"/>
    <n v="24411"/>
    <n v="99"/>
    <n v="196"/>
    <n v="1"/>
  </r>
  <r>
    <x v="82"/>
    <x v="0"/>
    <x v="1"/>
    <x v="0"/>
    <x v="0"/>
    <x v="0"/>
    <x v="5"/>
    <n v="24440"/>
    <n v="13311"/>
    <x v="78"/>
    <n v="2764"/>
    <n v="11"/>
    <n v="21676"/>
    <n v="89"/>
  </r>
  <r>
    <x v="83"/>
    <x v="0"/>
    <x v="1"/>
    <x v="0"/>
    <x v="0"/>
    <x v="0"/>
    <x v="4"/>
    <n v="24217"/>
    <n v="14721"/>
    <x v="79"/>
    <n v="6254"/>
    <n v="26"/>
    <n v="17964"/>
    <n v="74"/>
  </r>
  <r>
    <x v="84"/>
    <x v="1"/>
    <x v="1"/>
    <x v="0"/>
    <x v="1"/>
    <x v="0"/>
    <x v="0"/>
    <n v="23908"/>
    <n v="20739"/>
    <x v="80"/>
    <n v="18454"/>
    <n v="77"/>
    <n v="5454"/>
    <n v="23"/>
  </r>
  <r>
    <x v="85"/>
    <x v="0"/>
    <x v="1"/>
    <x v="0"/>
    <x v="7"/>
    <x v="1"/>
    <x v="9"/>
    <n v="23845"/>
    <n v="22662"/>
    <x v="81"/>
    <n v="3831"/>
    <n v="16"/>
    <n v="20014"/>
    <n v="84"/>
  </r>
  <r>
    <x v="86"/>
    <x v="0"/>
    <x v="1"/>
    <x v="0"/>
    <x v="7"/>
    <x v="0"/>
    <x v="7"/>
    <n v="23706"/>
    <n v="17589"/>
    <x v="82"/>
    <n v="1704"/>
    <n v="7"/>
    <n v="22002"/>
    <n v="93"/>
  </r>
  <r>
    <x v="87"/>
    <x v="1"/>
    <x v="1"/>
    <x v="0"/>
    <x v="0"/>
    <x v="0"/>
    <x v="7"/>
    <n v="22495"/>
    <n v="10834"/>
    <x v="83"/>
    <n v="4408"/>
    <n v="20"/>
    <n v="18087"/>
    <n v="80"/>
  </r>
  <r>
    <x v="88"/>
    <x v="0"/>
    <x v="1"/>
    <x v="0"/>
    <x v="6"/>
    <x v="1"/>
    <x v="2"/>
    <n v="22476"/>
    <n v="22215"/>
    <x v="84"/>
    <n v="22143"/>
    <n v="99"/>
    <n v="333"/>
    <n v="1"/>
  </r>
  <r>
    <x v="89"/>
    <x v="2"/>
    <x v="1"/>
    <x v="0"/>
    <x v="13"/>
    <x v="1"/>
    <x v="32"/>
    <n v="22236"/>
    <n v="288"/>
    <x v="85"/>
    <n v="0"/>
    <n v="0"/>
    <n v="22236"/>
    <n v="100"/>
  </r>
  <r>
    <x v="90"/>
    <x v="0"/>
    <x v="1"/>
    <x v="1"/>
    <x v="2"/>
    <x v="0"/>
    <x v="3"/>
    <n v="21937"/>
    <n v="8927"/>
    <x v="86"/>
    <n v="3007"/>
    <n v="14"/>
    <n v="18930"/>
    <n v="86"/>
  </r>
  <r>
    <x v="91"/>
    <x v="2"/>
    <x v="1"/>
    <x v="0"/>
    <x v="5"/>
    <x v="1"/>
    <x v="33"/>
    <n v="21874"/>
    <n v="21884"/>
    <x v="56"/>
    <n v="21872"/>
    <n v="100"/>
    <n v="1"/>
    <n v="0"/>
  </r>
  <r>
    <x v="92"/>
    <x v="1"/>
    <x v="13"/>
    <x v="0"/>
    <x v="1"/>
    <x v="0"/>
    <x v="9"/>
    <n v="21546"/>
    <n v="12366"/>
    <x v="87"/>
    <n v="6409"/>
    <n v="30"/>
    <n v="15137"/>
    <n v="70"/>
  </r>
  <r>
    <x v="93"/>
    <x v="0"/>
    <x v="1"/>
    <x v="0"/>
    <x v="0"/>
    <x v="1"/>
    <x v="14"/>
    <n v="21202"/>
    <n v="20357"/>
    <x v="88"/>
    <n v="16647"/>
    <n v="79"/>
    <n v="4555"/>
    <n v="21"/>
  </r>
  <r>
    <x v="94"/>
    <x v="2"/>
    <x v="1"/>
    <x v="0"/>
    <x v="1"/>
    <x v="1"/>
    <x v="11"/>
    <n v="21182"/>
    <n v="19519"/>
    <x v="89"/>
    <n v="17507"/>
    <n v="83"/>
    <n v="3676"/>
    <n v="17"/>
  </r>
  <r>
    <x v="95"/>
    <x v="0"/>
    <x v="14"/>
    <x v="0"/>
    <x v="7"/>
    <x v="0"/>
    <x v="0"/>
    <n v="21004"/>
    <n v="20142"/>
    <x v="90"/>
    <n v="14180"/>
    <n v="68"/>
    <n v="6824"/>
    <n v="32"/>
  </r>
  <r>
    <x v="96"/>
    <x v="0"/>
    <x v="1"/>
    <x v="0"/>
    <x v="7"/>
    <x v="0"/>
    <x v="18"/>
    <n v="20671"/>
    <n v="5352"/>
    <x v="91"/>
    <n v="32"/>
    <n v="0"/>
    <n v="20638"/>
    <n v="100"/>
  </r>
  <r>
    <x v="97"/>
    <x v="0"/>
    <x v="1"/>
    <x v="0"/>
    <x v="0"/>
    <x v="0"/>
    <x v="34"/>
    <n v="20645"/>
    <n v="7762"/>
    <x v="92"/>
    <n v="1744"/>
    <n v="8"/>
    <n v="18901"/>
    <n v="92"/>
  </r>
  <r>
    <x v="98"/>
    <x v="0"/>
    <x v="1"/>
    <x v="1"/>
    <x v="14"/>
    <x v="0"/>
    <x v="4"/>
    <n v="20549"/>
    <n v="14250"/>
    <x v="93"/>
    <n v="8226"/>
    <n v="40"/>
    <n v="12324"/>
    <n v="60"/>
  </r>
  <r>
    <x v="99"/>
    <x v="0"/>
    <x v="1"/>
    <x v="0"/>
    <x v="0"/>
    <x v="0"/>
    <x v="20"/>
    <n v="20445"/>
    <n v="14112"/>
    <x v="94"/>
    <n v="8484"/>
    <n v="41"/>
    <n v="11960"/>
    <n v="59"/>
  </r>
  <r>
    <x v="100"/>
    <x v="0"/>
    <x v="10"/>
    <x v="1"/>
    <x v="10"/>
    <x v="0"/>
    <x v="26"/>
    <n v="20301"/>
    <n v="13993"/>
    <x v="95"/>
    <n v="7574"/>
    <n v="37"/>
    <n v="12726"/>
    <n v="63"/>
  </r>
  <r>
    <x v="101"/>
    <x v="0"/>
    <x v="1"/>
    <x v="0"/>
    <x v="0"/>
    <x v="0"/>
    <x v="7"/>
    <n v="20138"/>
    <n v="15306"/>
    <x v="96"/>
    <n v="13559"/>
    <n v="67"/>
    <n v="6580"/>
    <n v="33"/>
  </r>
  <r>
    <x v="102"/>
    <x v="0"/>
    <x v="1"/>
    <x v="0"/>
    <x v="0"/>
    <x v="0"/>
    <x v="11"/>
    <n v="20091"/>
    <n v="18766"/>
    <x v="97"/>
    <n v="12865"/>
    <n v="64"/>
    <n v="7226"/>
    <n v="36"/>
  </r>
  <r>
    <x v="103"/>
    <x v="0"/>
    <x v="1"/>
    <x v="0"/>
    <x v="0"/>
    <x v="0"/>
    <x v="7"/>
    <n v="19978"/>
    <n v="9365"/>
    <x v="98"/>
    <n v="5320"/>
    <n v="27"/>
    <n v="14657"/>
    <n v="73"/>
  </r>
  <r>
    <x v="104"/>
    <x v="0"/>
    <x v="1"/>
    <x v="0"/>
    <x v="0"/>
    <x v="0"/>
    <x v="17"/>
    <n v="19830"/>
    <n v="12352"/>
    <x v="99"/>
    <n v="8303"/>
    <n v="42"/>
    <n v="11528"/>
    <n v="58"/>
  </r>
  <r>
    <x v="105"/>
    <x v="0"/>
    <x v="1"/>
    <x v="0"/>
    <x v="11"/>
    <x v="0"/>
    <x v="27"/>
    <n v="19727"/>
    <n v="19691"/>
    <x v="100"/>
    <n v="15839"/>
    <n v="80"/>
    <n v="3888"/>
    <n v="20"/>
  </r>
  <r>
    <x v="106"/>
    <x v="0"/>
    <x v="15"/>
    <x v="0"/>
    <x v="7"/>
    <x v="0"/>
    <x v="1"/>
    <n v="19708"/>
    <n v="17830"/>
    <x v="101"/>
    <n v="251"/>
    <n v="1"/>
    <n v="19457"/>
    <n v="99"/>
  </r>
  <r>
    <x v="107"/>
    <x v="0"/>
    <x v="16"/>
    <x v="1"/>
    <x v="2"/>
    <x v="0"/>
    <x v="14"/>
    <n v="19528"/>
    <n v="7513"/>
    <x v="102"/>
    <n v="2398"/>
    <n v="12"/>
    <n v="17130"/>
    <n v="88"/>
  </r>
  <r>
    <x v="108"/>
    <x v="0"/>
    <x v="1"/>
    <x v="0"/>
    <x v="6"/>
    <x v="1"/>
    <x v="4"/>
    <n v="19440"/>
    <n v="19436"/>
    <x v="103"/>
    <n v="18794"/>
    <n v="97"/>
    <n v="647"/>
    <n v="3"/>
  </r>
  <r>
    <x v="109"/>
    <x v="0"/>
    <x v="1"/>
    <x v="0"/>
    <x v="0"/>
    <x v="0"/>
    <x v="16"/>
    <n v="19384"/>
    <n v="2977"/>
    <x v="104"/>
    <n v="810"/>
    <n v="4"/>
    <n v="18574"/>
    <n v="96"/>
  </r>
  <r>
    <x v="110"/>
    <x v="0"/>
    <x v="17"/>
    <x v="5"/>
    <x v="15"/>
    <x v="1"/>
    <x v="16"/>
    <n v="19232"/>
    <n v="15881"/>
    <x v="105"/>
    <n v="15399"/>
    <n v="80"/>
    <n v="3832"/>
    <n v="20"/>
  </r>
  <r>
    <x v="111"/>
    <x v="0"/>
    <x v="1"/>
    <x v="0"/>
    <x v="11"/>
    <x v="0"/>
    <x v="14"/>
    <n v="19102"/>
    <n v="17465"/>
    <x v="106"/>
    <n v="16648"/>
    <n v="87"/>
    <n v="2454"/>
    <n v="13"/>
  </r>
  <r>
    <x v="112"/>
    <x v="0"/>
    <x v="2"/>
    <x v="0"/>
    <x v="5"/>
    <x v="0"/>
    <x v="35"/>
    <n v="19090"/>
    <n v="17435"/>
    <x v="107"/>
    <n v="12211"/>
    <n v="64"/>
    <n v="6879"/>
    <n v="36"/>
  </r>
  <r>
    <x v="113"/>
    <x v="0"/>
    <x v="4"/>
    <x v="1"/>
    <x v="9"/>
    <x v="0"/>
    <x v="19"/>
    <n v="18913"/>
    <n v="8491"/>
    <x v="108"/>
    <n v="5717"/>
    <n v="30"/>
    <n v="13196"/>
    <n v="70"/>
  </r>
  <r>
    <x v="114"/>
    <x v="0"/>
    <x v="1"/>
    <x v="0"/>
    <x v="0"/>
    <x v="0"/>
    <x v="19"/>
    <n v="18890"/>
    <n v="11763"/>
    <x v="109"/>
    <n v="5822"/>
    <n v="31"/>
    <n v="13068"/>
    <n v="69"/>
  </r>
  <r>
    <x v="115"/>
    <x v="1"/>
    <x v="0"/>
    <x v="0"/>
    <x v="1"/>
    <x v="0"/>
    <x v="17"/>
    <n v="18707"/>
    <n v="16894"/>
    <x v="110"/>
    <n v="15281"/>
    <n v="82"/>
    <n v="3426"/>
    <n v="18"/>
  </r>
  <r>
    <x v="116"/>
    <x v="0"/>
    <x v="1"/>
    <x v="0"/>
    <x v="0"/>
    <x v="0"/>
    <x v="14"/>
    <n v="18650"/>
    <n v="17855"/>
    <x v="111"/>
    <n v="9453"/>
    <n v="51"/>
    <n v="9197"/>
    <n v="49"/>
  </r>
  <r>
    <x v="117"/>
    <x v="0"/>
    <x v="1"/>
    <x v="0"/>
    <x v="5"/>
    <x v="1"/>
    <x v="36"/>
    <n v="18627"/>
    <n v="18557"/>
    <x v="112"/>
    <n v="18283"/>
    <n v="98"/>
    <n v="344"/>
    <n v="2"/>
  </r>
  <r>
    <x v="118"/>
    <x v="0"/>
    <x v="1"/>
    <x v="1"/>
    <x v="2"/>
    <x v="0"/>
    <x v="20"/>
    <n v="18581"/>
    <n v="14991"/>
    <x v="113"/>
    <n v="8322"/>
    <n v="45"/>
    <n v="10259"/>
    <n v="55"/>
  </r>
  <r>
    <x v="119"/>
    <x v="0"/>
    <x v="1"/>
    <x v="0"/>
    <x v="3"/>
    <x v="0"/>
    <x v="37"/>
    <n v="18413"/>
    <n v="12525"/>
    <x v="114"/>
    <n v="5222"/>
    <n v="28"/>
    <n v="13191"/>
    <n v="72"/>
  </r>
  <r>
    <x v="120"/>
    <x v="0"/>
    <x v="1"/>
    <x v="0"/>
    <x v="1"/>
    <x v="0"/>
    <x v="7"/>
    <n v="18309"/>
    <n v="14642"/>
    <x v="115"/>
    <n v="8614"/>
    <n v="47"/>
    <n v="9696"/>
    <n v="53"/>
  </r>
  <r>
    <x v="121"/>
    <x v="0"/>
    <x v="1"/>
    <x v="0"/>
    <x v="1"/>
    <x v="0"/>
    <x v="18"/>
    <n v="18271"/>
    <n v="13166"/>
    <x v="116"/>
    <n v="8899"/>
    <n v="49"/>
    <n v="9372"/>
    <n v="51"/>
  </r>
  <r>
    <x v="122"/>
    <x v="0"/>
    <x v="18"/>
    <x v="0"/>
    <x v="7"/>
    <x v="0"/>
    <x v="37"/>
    <n v="18217"/>
    <n v="13653"/>
    <x v="117"/>
    <n v="3490"/>
    <n v="19"/>
    <n v="14727"/>
    <n v="81"/>
  </r>
  <r>
    <x v="123"/>
    <x v="0"/>
    <x v="19"/>
    <x v="0"/>
    <x v="16"/>
    <x v="0"/>
    <x v="5"/>
    <n v="18203"/>
    <n v="9675"/>
    <x v="118"/>
    <n v="4461"/>
    <n v="25"/>
    <n v="13743"/>
    <n v="75"/>
  </r>
  <r>
    <x v="124"/>
    <x v="0"/>
    <x v="1"/>
    <x v="0"/>
    <x v="0"/>
    <x v="0"/>
    <x v="16"/>
    <n v="18064"/>
    <n v="7403"/>
    <x v="119"/>
    <n v="2757"/>
    <n v="15"/>
    <n v="15307"/>
    <n v="85"/>
  </r>
  <r>
    <x v="125"/>
    <x v="1"/>
    <x v="4"/>
    <x v="0"/>
    <x v="3"/>
    <x v="0"/>
    <x v="9"/>
    <n v="18005"/>
    <n v="10367"/>
    <x v="120"/>
    <n v="7259"/>
    <n v="40"/>
    <n v="10746"/>
    <n v="60"/>
  </r>
  <r>
    <x v="126"/>
    <x v="0"/>
    <x v="1"/>
    <x v="0"/>
    <x v="0"/>
    <x v="0"/>
    <x v="2"/>
    <n v="17739"/>
    <n v="11748"/>
    <x v="121"/>
    <n v="7693"/>
    <n v="43"/>
    <n v="10045"/>
    <n v="57"/>
  </r>
  <r>
    <x v="127"/>
    <x v="0"/>
    <x v="1"/>
    <x v="0"/>
    <x v="1"/>
    <x v="0"/>
    <x v="2"/>
    <n v="17720"/>
    <n v="13610"/>
    <x v="122"/>
    <n v="8343"/>
    <n v="47"/>
    <n v="9378"/>
    <n v="53"/>
  </r>
  <r>
    <x v="128"/>
    <x v="1"/>
    <x v="5"/>
    <x v="2"/>
    <x v="4"/>
    <x v="1"/>
    <x v="19"/>
    <n v="17517"/>
    <n v="7595"/>
    <x v="123"/>
    <n v="15415"/>
    <n v="88"/>
    <n v="2102"/>
    <n v="12"/>
  </r>
  <r>
    <x v="129"/>
    <x v="0"/>
    <x v="1"/>
    <x v="1"/>
    <x v="2"/>
    <x v="0"/>
    <x v="17"/>
    <n v="17516"/>
    <n v="16311"/>
    <x v="124"/>
    <n v="2138"/>
    <n v="12"/>
    <n v="15378"/>
    <n v="88"/>
  </r>
  <r>
    <x v="130"/>
    <x v="1"/>
    <x v="1"/>
    <x v="0"/>
    <x v="1"/>
    <x v="0"/>
    <x v="14"/>
    <n v="17440"/>
    <n v="5933"/>
    <x v="125"/>
    <n v="2784"/>
    <n v="16"/>
    <n v="14656"/>
    <n v="84"/>
  </r>
  <r>
    <x v="131"/>
    <x v="0"/>
    <x v="7"/>
    <x v="0"/>
    <x v="7"/>
    <x v="1"/>
    <x v="37"/>
    <n v="17317"/>
    <n v="10310"/>
    <x v="126"/>
    <n v="6283"/>
    <n v="36"/>
    <n v="11034"/>
    <n v="64"/>
  </r>
  <r>
    <x v="132"/>
    <x v="0"/>
    <x v="10"/>
    <x v="1"/>
    <x v="9"/>
    <x v="0"/>
    <x v="38"/>
    <n v="17314"/>
    <n v="17302"/>
    <x v="127"/>
    <n v="17281"/>
    <n v="100"/>
    <n v="33"/>
    <n v="0"/>
  </r>
  <r>
    <x v="133"/>
    <x v="1"/>
    <x v="1"/>
    <x v="0"/>
    <x v="1"/>
    <x v="0"/>
    <x v="16"/>
    <n v="17120"/>
    <n v="11626"/>
    <x v="128"/>
    <n v="10006"/>
    <n v="58"/>
    <n v="7114"/>
    <n v="42"/>
  </r>
  <r>
    <x v="134"/>
    <x v="0"/>
    <x v="20"/>
    <x v="0"/>
    <x v="3"/>
    <x v="0"/>
    <x v="3"/>
    <n v="17056"/>
    <n v="8007"/>
    <x v="129"/>
    <n v="4403"/>
    <n v="26"/>
    <n v="12653"/>
    <n v="74"/>
  </r>
  <r>
    <x v="135"/>
    <x v="0"/>
    <x v="11"/>
    <x v="0"/>
    <x v="5"/>
    <x v="1"/>
    <x v="39"/>
    <n v="17010"/>
    <n v="17018"/>
    <x v="56"/>
    <n v="17010"/>
    <n v="100"/>
    <n v="0"/>
    <n v="0"/>
  </r>
  <r>
    <x v="136"/>
    <x v="0"/>
    <x v="4"/>
    <x v="1"/>
    <x v="9"/>
    <x v="0"/>
    <x v="1"/>
    <n v="16984"/>
    <n v="10970"/>
    <x v="130"/>
    <n v="4419"/>
    <n v="26"/>
    <n v="12565"/>
    <n v="74"/>
  </r>
  <r>
    <x v="137"/>
    <x v="0"/>
    <x v="10"/>
    <x v="1"/>
    <x v="10"/>
    <x v="0"/>
    <x v="8"/>
    <n v="16969"/>
    <n v="10481"/>
    <x v="131"/>
    <n v="7429"/>
    <n v="44"/>
    <n v="9540"/>
    <n v="56"/>
  </r>
  <r>
    <x v="138"/>
    <x v="0"/>
    <x v="15"/>
    <x v="0"/>
    <x v="7"/>
    <x v="0"/>
    <x v="14"/>
    <n v="16893"/>
    <n v="13879"/>
    <x v="132"/>
    <n v="5322"/>
    <n v="32"/>
    <n v="11572"/>
    <n v="68"/>
  </r>
  <r>
    <x v="139"/>
    <x v="0"/>
    <x v="1"/>
    <x v="0"/>
    <x v="0"/>
    <x v="0"/>
    <x v="19"/>
    <n v="16877"/>
    <n v="11426"/>
    <x v="133"/>
    <n v="6395"/>
    <n v="38"/>
    <n v="10482"/>
    <n v="62"/>
  </r>
  <r>
    <x v="140"/>
    <x v="2"/>
    <x v="2"/>
    <x v="0"/>
    <x v="5"/>
    <x v="1"/>
    <x v="40"/>
    <n v="16578"/>
    <n v="16578"/>
    <x v="56"/>
    <n v="16567"/>
    <n v="100"/>
    <n v="10"/>
    <n v="0"/>
  </r>
  <r>
    <x v="141"/>
    <x v="0"/>
    <x v="21"/>
    <x v="0"/>
    <x v="5"/>
    <x v="0"/>
    <x v="1"/>
    <n v="16556"/>
    <n v="15920"/>
    <x v="134"/>
    <n v="15520"/>
    <n v="94"/>
    <n v="1037"/>
    <n v="6"/>
  </r>
  <r>
    <x v="142"/>
    <x v="1"/>
    <x v="2"/>
    <x v="0"/>
    <x v="1"/>
    <x v="0"/>
    <x v="2"/>
    <n v="16553"/>
    <n v="11362"/>
    <x v="135"/>
    <n v="8686"/>
    <n v="52"/>
    <n v="7867"/>
    <n v="48"/>
  </r>
  <r>
    <x v="143"/>
    <x v="0"/>
    <x v="2"/>
    <x v="0"/>
    <x v="5"/>
    <x v="1"/>
    <x v="41"/>
    <n v="16455"/>
    <n v="16462"/>
    <x v="136"/>
    <n v="16382"/>
    <n v="100"/>
    <n v="72"/>
    <n v="0"/>
  </r>
  <r>
    <x v="144"/>
    <x v="0"/>
    <x v="1"/>
    <x v="0"/>
    <x v="0"/>
    <x v="0"/>
    <x v="11"/>
    <n v="16429"/>
    <n v="12009"/>
    <x v="137"/>
    <n v="2139"/>
    <n v="13"/>
    <n v="14290"/>
    <n v="87"/>
  </r>
  <r>
    <x v="145"/>
    <x v="0"/>
    <x v="1"/>
    <x v="0"/>
    <x v="0"/>
    <x v="0"/>
    <x v="11"/>
    <n v="16366"/>
    <n v="14784"/>
    <x v="138"/>
    <n v="4360"/>
    <n v="27"/>
    <n v="12006"/>
    <n v="73"/>
  </r>
  <r>
    <x v="146"/>
    <x v="1"/>
    <x v="1"/>
    <x v="0"/>
    <x v="1"/>
    <x v="0"/>
    <x v="21"/>
    <n v="16272"/>
    <n v="7125"/>
    <x v="139"/>
    <n v="11023"/>
    <n v="68"/>
    <n v="5249"/>
    <n v="32"/>
  </r>
  <r>
    <x v="147"/>
    <x v="0"/>
    <x v="1"/>
    <x v="0"/>
    <x v="5"/>
    <x v="1"/>
    <x v="42"/>
    <n v="16229"/>
    <n v="16236"/>
    <x v="56"/>
    <n v="16229"/>
    <n v="100"/>
    <n v="0"/>
    <n v="0"/>
  </r>
  <r>
    <x v="148"/>
    <x v="0"/>
    <x v="1"/>
    <x v="0"/>
    <x v="0"/>
    <x v="0"/>
    <x v="26"/>
    <n v="16217"/>
    <n v="14632"/>
    <x v="140"/>
    <n v="7842"/>
    <n v="48"/>
    <n v="8376"/>
    <n v="52"/>
  </r>
  <r>
    <x v="149"/>
    <x v="1"/>
    <x v="1"/>
    <x v="0"/>
    <x v="1"/>
    <x v="0"/>
    <x v="43"/>
    <n v="16148"/>
    <n v="14108"/>
    <x v="141"/>
    <n v="13481"/>
    <n v="83"/>
    <n v="2668"/>
    <n v="17"/>
  </r>
  <r>
    <x v="150"/>
    <x v="0"/>
    <x v="2"/>
    <x v="0"/>
    <x v="1"/>
    <x v="0"/>
    <x v="9"/>
    <n v="16112"/>
    <n v="14818"/>
    <x v="142"/>
    <n v="12881"/>
    <n v="80"/>
    <n v="3230"/>
    <n v="20"/>
  </r>
  <r>
    <x v="151"/>
    <x v="0"/>
    <x v="0"/>
    <x v="0"/>
    <x v="0"/>
    <x v="0"/>
    <x v="2"/>
    <n v="16021"/>
    <n v="11602"/>
    <x v="143"/>
    <n v="8229"/>
    <n v="51"/>
    <n v="7792"/>
    <n v="49"/>
  </r>
  <r>
    <x v="152"/>
    <x v="0"/>
    <x v="1"/>
    <x v="0"/>
    <x v="0"/>
    <x v="0"/>
    <x v="0"/>
    <n v="15952"/>
    <n v="4001"/>
    <x v="144"/>
    <n v="2951"/>
    <n v="19"/>
    <n v="13001"/>
    <n v="81"/>
  </r>
  <r>
    <x v="153"/>
    <x v="0"/>
    <x v="7"/>
    <x v="0"/>
    <x v="7"/>
    <x v="0"/>
    <x v="1"/>
    <n v="15921"/>
    <n v="12030"/>
    <x v="145"/>
    <n v="528"/>
    <n v="3"/>
    <n v="15394"/>
    <n v="97"/>
  </r>
  <r>
    <x v="154"/>
    <x v="0"/>
    <x v="0"/>
    <x v="0"/>
    <x v="3"/>
    <x v="0"/>
    <x v="14"/>
    <n v="15876"/>
    <n v="12905"/>
    <x v="146"/>
    <n v="7353"/>
    <n v="46"/>
    <n v="8523"/>
    <n v="54"/>
  </r>
  <r>
    <x v="155"/>
    <x v="2"/>
    <x v="1"/>
    <x v="0"/>
    <x v="0"/>
    <x v="1"/>
    <x v="43"/>
    <n v="15776"/>
    <n v="15257"/>
    <x v="147"/>
    <n v="11623"/>
    <n v="74"/>
    <n v="4153"/>
    <n v="26"/>
  </r>
  <r>
    <x v="156"/>
    <x v="0"/>
    <x v="1"/>
    <x v="0"/>
    <x v="0"/>
    <x v="0"/>
    <x v="8"/>
    <n v="15746"/>
    <n v="502"/>
    <x v="148"/>
    <n v="143"/>
    <n v="1"/>
    <n v="15603"/>
    <n v="99"/>
  </r>
  <r>
    <x v="157"/>
    <x v="1"/>
    <x v="8"/>
    <x v="3"/>
    <x v="8"/>
    <x v="0"/>
    <x v="18"/>
    <n v="15723"/>
    <n v="2035"/>
    <x v="149"/>
    <n v="690"/>
    <n v="4"/>
    <n v="15032"/>
    <n v="96"/>
  </r>
  <r>
    <x v="158"/>
    <x v="0"/>
    <x v="22"/>
    <x v="1"/>
    <x v="0"/>
    <x v="0"/>
    <x v="19"/>
    <n v="15685"/>
    <n v="7886"/>
    <x v="150"/>
    <n v="3431"/>
    <n v="22"/>
    <n v="12254"/>
    <n v="78"/>
  </r>
  <r>
    <x v="159"/>
    <x v="0"/>
    <x v="22"/>
    <x v="1"/>
    <x v="9"/>
    <x v="0"/>
    <x v="17"/>
    <n v="15639"/>
    <n v="13216"/>
    <x v="151"/>
    <n v="84"/>
    <n v="1"/>
    <n v="15554"/>
    <n v="99"/>
  </r>
  <r>
    <x v="160"/>
    <x v="0"/>
    <x v="1"/>
    <x v="0"/>
    <x v="0"/>
    <x v="1"/>
    <x v="1"/>
    <n v="15562"/>
    <n v="13694"/>
    <x v="152"/>
    <n v="4815"/>
    <n v="31"/>
    <n v="10747"/>
    <n v="69"/>
  </r>
  <r>
    <x v="161"/>
    <x v="0"/>
    <x v="11"/>
    <x v="0"/>
    <x v="0"/>
    <x v="0"/>
    <x v="26"/>
    <n v="15562"/>
    <n v="10488"/>
    <x v="58"/>
    <n v="6776"/>
    <n v="44"/>
    <n v="8786"/>
    <n v="56"/>
  </r>
  <r>
    <x v="162"/>
    <x v="1"/>
    <x v="17"/>
    <x v="5"/>
    <x v="15"/>
    <x v="0"/>
    <x v="4"/>
    <n v="15528"/>
    <n v="7744"/>
    <x v="153"/>
    <n v="7736"/>
    <n v="50"/>
    <n v="7792"/>
    <n v="50"/>
  </r>
  <r>
    <x v="163"/>
    <x v="1"/>
    <x v="17"/>
    <x v="5"/>
    <x v="1"/>
    <x v="0"/>
    <x v="9"/>
    <n v="15526"/>
    <n v="11132"/>
    <x v="154"/>
    <n v="3212"/>
    <n v="21"/>
    <n v="12314"/>
    <n v="79"/>
  </r>
  <r>
    <x v="164"/>
    <x v="0"/>
    <x v="1"/>
    <x v="0"/>
    <x v="5"/>
    <x v="1"/>
    <x v="12"/>
    <n v="15453"/>
    <n v="15343"/>
    <x v="155"/>
    <n v="15334"/>
    <n v="99"/>
    <n v="120"/>
    <n v="1"/>
  </r>
  <r>
    <x v="165"/>
    <x v="0"/>
    <x v="1"/>
    <x v="0"/>
    <x v="0"/>
    <x v="0"/>
    <x v="4"/>
    <n v="15329"/>
    <n v="6849"/>
    <x v="156"/>
    <n v="2899"/>
    <n v="19"/>
    <n v="12431"/>
    <n v="81"/>
  </r>
  <r>
    <x v="166"/>
    <x v="0"/>
    <x v="1"/>
    <x v="0"/>
    <x v="0"/>
    <x v="0"/>
    <x v="17"/>
    <n v="15252"/>
    <n v="13192"/>
    <x v="157"/>
    <n v="7139"/>
    <n v="47"/>
    <n v="8113"/>
    <n v="53"/>
  </r>
  <r>
    <x v="167"/>
    <x v="0"/>
    <x v="8"/>
    <x v="6"/>
    <x v="8"/>
    <x v="0"/>
    <x v="41"/>
    <n v="15240"/>
    <n v="10858"/>
    <x v="158"/>
    <n v="595"/>
    <n v="4"/>
    <n v="14646"/>
    <n v="96"/>
  </r>
  <r>
    <x v="168"/>
    <x v="0"/>
    <x v="1"/>
    <x v="0"/>
    <x v="0"/>
    <x v="0"/>
    <x v="0"/>
    <n v="15133"/>
    <n v="11606"/>
    <x v="159"/>
    <n v="1928"/>
    <n v="13"/>
    <n v="13204"/>
    <n v="87"/>
  </r>
  <r>
    <x v="169"/>
    <x v="0"/>
    <x v="1"/>
    <x v="0"/>
    <x v="0"/>
    <x v="0"/>
    <x v="16"/>
    <n v="15087"/>
    <n v="10608"/>
    <x v="160"/>
    <n v="5835"/>
    <n v="39"/>
    <n v="9252"/>
    <n v="61"/>
  </r>
  <r>
    <x v="170"/>
    <x v="0"/>
    <x v="1"/>
    <x v="1"/>
    <x v="2"/>
    <x v="0"/>
    <x v="8"/>
    <n v="15041"/>
    <n v="4979"/>
    <x v="161"/>
    <n v="2070"/>
    <n v="14"/>
    <n v="12971"/>
    <n v="86"/>
  </r>
  <r>
    <x v="171"/>
    <x v="0"/>
    <x v="19"/>
    <x v="0"/>
    <x v="16"/>
    <x v="1"/>
    <x v="28"/>
    <n v="14993"/>
    <n v="14837"/>
    <x v="162"/>
    <n v="13836"/>
    <n v="92"/>
    <n v="1157"/>
    <n v="8"/>
  </r>
  <r>
    <x v="172"/>
    <x v="0"/>
    <x v="5"/>
    <x v="2"/>
    <x v="4"/>
    <x v="1"/>
    <x v="26"/>
    <n v="14947"/>
    <n v="14819"/>
    <x v="163"/>
    <n v="13482"/>
    <n v="90"/>
    <n v="1465"/>
    <n v="10"/>
  </r>
  <r>
    <x v="173"/>
    <x v="0"/>
    <x v="8"/>
    <x v="6"/>
    <x v="8"/>
    <x v="0"/>
    <x v="9"/>
    <n v="14898"/>
    <n v="12456"/>
    <x v="164"/>
    <n v="1543"/>
    <n v="10"/>
    <n v="13354"/>
    <n v="90"/>
  </r>
  <r>
    <x v="174"/>
    <x v="0"/>
    <x v="1"/>
    <x v="0"/>
    <x v="3"/>
    <x v="0"/>
    <x v="0"/>
    <n v="14889"/>
    <n v="8808"/>
    <x v="165"/>
    <n v="8012"/>
    <n v="54"/>
    <n v="6877"/>
    <n v="46"/>
  </r>
  <r>
    <x v="175"/>
    <x v="0"/>
    <x v="1"/>
    <x v="0"/>
    <x v="0"/>
    <x v="0"/>
    <x v="6"/>
    <n v="14880"/>
    <n v="7106"/>
    <x v="166"/>
    <n v="1619"/>
    <n v="11"/>
    <n v="13261"/>
    <n v="89"/>
  </r>
  <r>
    <x v="176"/>
    <x v="1"/>
    <x v="23"/>
    <x v="1"/>
    <x v="1"/>
    <x v="0"/>
    <x v="19"/>
    <n v="14558"/>
    <n v="10084"/>
    <x v="167"/>
    <n v="5317"/>
    <n v="37"/>
    <n v="9242"/>
    <n v="63"/>
  </r>
  <r>
    <x v="177"/>
    <x v="1"/>
    <x v="2"/>
    <x v="0"/>
    <x v="1"/>
    <x v="0"/>
    <x v="16"/>
    <n v="14544"/>
    <n v="10175"/>
    <x v="168"/>
    <n v="6748"/>
    <n v="46"/>
    <n v="7797"/>
    <n v="54"/>
  </r>
  <r>
    <x v="178"/>
    <x v="0"/>
    <x v="24"/>
    <x v="0"/>
    <x v="3"/>
    <x v="0"/>
    <x v="17"/>
    <n v="14512"/>
    <n v="13579"/>
    <x v="169"/>
    <n v="12112"/>
    <n v="83"/>
    <n v="2400"/>
    <n v="17"/>
  </r>
  <r>
    <x v="179"/>
    <x v="0"/>
    <x v="1"/>
    <x v="0"/>
    <x v="5"/>
    <x v="1"/>
    <x v="20"/>
    <n v="14508"/>
    <n v="10717"/>
    <x v="170"/>
    <n v="12380"/>
    <n v="85"/>
    <n v="2128"/>
    <n v="15"/>
  </r>
  <r>
    <x v="180"/>
    <x v="0"/>
    <x v="0"/>
    <x v="0"/>
    <x v="3"/>
    <x v="0"/>
    <x v="1"/>
    <n v="14506"/>
    <n v="13237"/>
    <x v="171"/>
    <n v="7177"/>
    <n v="49"/>
    <n v="7329"/>
    <n v="51"/>
  </r>
  <r>
    <x v="181"/>
    <x v="0"/>
    <x v="17"/>
    <x v="5"/>
    <x v="15"/>
    <x v="1"/>
    <x v="11"/>
    <n v="14404"/>
    <n v="11024"/>
    <x v="172"/>
    <n v="10484"/>
    <n v="73"/>
    <n v="3920"/>
    <n v="27"/>
  </r>
  <r>
    <x v="182"/>
    <x v="0"/>
    <x v="1"/>
    <x v="0"/>
    <x v="0"/>
    <x v="0"/>
    <x v="7"/>
    <n v="14403"/>
    <n v="13416"/>
    <x v="173"/>
    <n v="791"/>
    <n v="5"/>
    <n v="13612"/>
    <n v="95"/>
  </r>
  <r>
    <x v="183"/>
    <x v="0"/>
    <x v="1"/>
    <x v="0"/>
    <x v="5"/>
    <x v="1"/>
    <x v="6"/>
    <n v="14402"/>
    <n v="4417"/>
    <x v="174"/>
    <n v="13038"/>
    <n v="91"/>
    <n v="1364"/>
    <n v="9"/>
  </r>
  <r>
    <x v="184"/>
    <x v="0"/>
    <x v="11"/>
    <x v="0"/>
    <x v="5"/>
    <x v="0"/>
    <x v="16"/>
    <n v="14387"/>
    <n v="13233"/>
    <x v="175"/>
    <n v="12679"/>
    <n v="88"/>
    <n v="1708"/>
    <n v="12"/>
  </r>
  <r>
    <x v="185"/>
    <x v="0"/>
    <x v="23"/>
    <x v="1"/>
    <x v="2"/>
    <x v="0"/>
    <x v="22"/>
    <n v="14345"/>
    <n v="7660"/>
    <x v="176"/>
    <n v="4915"/>
    <n v="34"/>
    <n v="9430"/>
    <n v="66"/>
  </r>
  <r>
    <x v="186"/>
    <x v="0"/>
    <x v="4"/>
    <x v="1"/>
    <x v="9"/>
    <x v="1"/>
    <x v="7"/>
    <n v="14294"/>
    <n v="11696"/>
    <x v="177"/>
    <n v="8589"/>
    <n v="60"/>
    <n v="5705"/>
    <n v="40"/>
  </r>
  <r>
    <x v="187"/>
    <x v="1"/>
    <x v="14"/>
    <x v="0"/>
    <x v="1"/>
    <x v="0"/>
    <x v="16"/>
    <n v="14221"/>
    <n v="9372"/>
    <x v="178"/>
    <n v="7138"/>
    <n v="50"/>
    <n v="7083"/>
    <n v="50"/>
  </r>
  <r>
    <x v="188"/>
    <x v="0"/>
    <x v="10"/>
    <x v="1"/>
    <x v="10"/>
    <x v="0"/>
    <x v="44"/>
    <n v="14167"/>
    <n v="7969"/>
    <x v="179"/>
    <n v="3646"/>
    <n v="26"/>
    <n v="10520"/>
    <n v="74"/>
  </r>
  <r>
    <x v="189"/>
    <x v="0"/>
    <x v="7"/>
    <x v="7"/>
    <x v="0"/>
    <x v="0"/>
    <x v="1"/>
    <n v="14128"/>
    <n v="11142"/>
    <x v="180"/>
    <n v="8903"/>
    <n v="63"/>
    <n v="5225"/>
    <n v="37"/>
  </r>
  <r>
    <x v="190"/>
    <x v="0"/>
    <x v="1"/>
    <x v="0"/>
    <x v="0"/>
    <x v="0"/>
    <x v="13"/>
    <n v="14117"/>
    <n v="13660"/>
    <x v="181"/>
    <n v="5423"/>
    <n v="38"/>
    <n v="8694"/>
    <n v="62"/>
  </r>
  <r>
    <x v="191"/>
    <x v="0"/>
    <x v="2"/>
    <x v="0"/>
    <x v="6"/>
    <x v="1"/>
    <x v="25"/>
    <n v="14104"/>
    <n v="14088"/>
    <x v="182"/>
    <n v="3964"/>
    <n v="28"/>
    <n v="10140"/>
    <n v="72"/>
  </r>
  <r>
    <x v="192"/>
    <x v="0"/>
    <x v="9"/>
    <x v="0"/>
    <x v="1"/>
    <x v="0"/>
    <x v="17"/>
    <n v="14088"/>
    <n v="14091"/>
    <x v="56"/>
    <n v="13608"/>
    <n v="97"/>
    <n v="479"/>
    <n v="3"/>
  </r>
  <r>
    <x v="193"/>
    <x v="0"/>
    <x v="1"/>
    <x v="1"/>
    <x v="10"/>
    <x v="1"/>
    <x v="45"/>
    <n v="13999"/>
    <n v="8095"/>
    <x v="183"/>
    <n v="2002"/>
    <n v="14"/>
    <n v="11998"/>
    <n v="86"/>
  </r>
  <r>
    <x v="194"/>
    <x v="0"/>
    <x v="4"/>
    <x v="1"/>
    <x v="1"/>
    <x v="0"/>
    <x v="11"/>
    <n v="13994"/>
    <n v="8290"/>
    <x v="184"/>
    <n v="3475"/>
    <n v="25"/>
    <n v="10519"/>
    <n v="75"/>
  </r>
  <r>
    <x v="195"/>
    <x v="0"/>
    <x v="1"/>
    <x v="1"/>
    <x v="2"/>
    <x v="0"/>
    <x v="2"/>
    <n v="13994"/>
    <n v="945"/>
    <x v="185"/>
    <n v="136"/>
    <n v="1"/>
    <n v="13858"/>
    <n v="99"/>
  </r>
  <r>
    <x v="196"/>
    <x v="0"/>
    <x v="1"/>
    <x v="0"/>
    <x v="0"/>
    <x v="0"/>
    <x v="11"/>
    <n v="13979"/>
    <n v="4090"/>
    <x v="186"/>
    <n v="896"/>
    <n v="6"/>
    <n v="13083"/>
    <n v="94"/>
  </r>
  <r>
    <x v="197"/>
    <x v="0"/>
    <x v="1"/>
    <x v="0"/>
    <x v="0"/>
    <x v="0"/>
    <x v="8"/>
    <n v="13892"/>
    <n v="9309"/>
    <x v="187"/>
    <n v="12293"/>
    <n v="88"/>
    <n v="1599"/>
    <n v="12"/>
  </r>
  <r>
    <x v="198"/>
    <x v="0"/>
    <x v="1"/>
    <x v="0"/>
    <x v="3"/>
    <x v="0"/>
    <x v="4"/>
    <n v="13891"/>
    <n v="13740"/>
    <x v="188"/>
    <n v="8916"/>
    <n v="64"/>
    <n v="4975"/>
    <n v="36"/>
  </r>
  <r>
    <x v="199"/>
    <x v="0"/>
    <x v="23"/>
    <x v="1"/>
    <x v="0"/>
    <x v="0"/>
    <x v="14"/>
    <n v="13734"/>
    <n v="11279"/>
    <x v="189"/>
    <n v="8954"/>
    <n v="65"/>
    <n v="4780"/>
    <n v="35"/>
  </r>
  <r>
    <x v="200"/>
    <x v="0"/>
    <x v="1"/>
    <x v="0"/>
    <x v="0"/>
    <x v="0"/>
    <x v="17"/>
    <n v="13692"/>
    <n v="6665"/>
    <x v="190"/>
    <n v="4971"/>
    <n v="36"/>
    <n v="8721"/>
    <n v="64"/>
  </r>
  <r>
    <x v="201"/>
    <x v="0"/>
    <x v="1"/>
    <x v="0"/>
    <x v="5"/>
    <x v="1"/>
    <x v="46"/>
    <n v="13683"/>
    <n v="13689"/>
    <x v="56"/>
    <n v="13682"/>
    <n v="100"/>
    <n v="1"/>
    <n v="0"/>
  </r>
  <r>
    <x v="202"/>
    <x v="1"/>
    <x v="1"/>
    <x v="0"/>
    <x v="1"/>
    <x v="0"/>
    <x v="12"/>
    <n v="13650"/>
    <n v="12397"/>
    <x v="191"/>
    <n v="10349"/>
    <n v="76"/>
    <n v="3302"/>
    <n v="24"/>
  </r>
  <r>
    <x v="203"/>
    <x v="0"/>
    <x v="1"/>
    <x v="0"/>
    <x v="17"/>
    <x v="0"/>
    <x v="17"/>
    <n v="13543"/>
    <n v="12815"/>
    <x v="192"/>
    <n v="10726"/>
    <n v="79"/>
    <n v="2817"/>
    <n v="21"/>
  </r>
  <r>
    <x v="204"/>
    <x v="1"/>
    <x v="1"/>
    <x v="0"/>
    <x v="0"/>
    <x v="0"/>
    <x v="19"/>
    <n v="13532"/>
    <n v="7853"/>
    <x v="193"/>
    <n v="4661"/>
    <n v="34"/>
    <n v="8871"/>
    <n v="66"/>
  </r>
  <r>
    <x v="205"/>
    <x v="0"/>
    <x v="10"/>
    <x v="1"/>
    <x v="10"/>
    <x v="0"/>
    <x v="19"/>
    <n v="13503"/>
    <n v="9602"/>
    <x v="194"/>
    <n v="8045"/>
    <n v="60"/>
    <n v="5459"/>
    <n v="40"/>
  </r>
  <r>
    <x v="206"/>
    <x v="0"/>
    <x v="1"/>
    <x v="0"/>
    <x v="3"/>
    <x v="0"/>
    <x v="1"/>
    <n v="13490"/>
    <n v="9955"/>
    <x v="195"/>
    <n v="8583"/>
    <n v="64"/>
    <n v="4908"/>
    <n v="36"/>
  </r>
  <r>
    <x v="207"/>
    <x v="0"/>
    <x v="18"/>
    <x v="0"/>
    <x v="7"/>
    <x v="0"/>
    <x v="9"/>
    <n v="13469"/>
    <n v="12222"/>
    <x v="196"/>
    <n v="1203"/>
    <n v="9"/>
    <n v="12266"/>
    <n v="91"/>
  </r>
  <r>
    <x v="208"/>
    <x v="0"/>
    <x v="10"/>
    <x v="1"/>
    <x v="10"/>
    <x v="1"/>
    <x v="20"/>
    <n v="13434"/>
    <n v="12367"/>
    <x v="197"/>
    <n v="11155"/>
    <n v="83"/>
    <n v="2279"/>
    <n v="17"/>
  </r>
  <r>
    <x v="209"/>
    <x v="0"/>
    <x v="2"/>
    <x v="0"/>
    <x v="5"/>
    <x v="1"/>
    <x v="40"/>
    <n v="13404"/>
    <n v="11624"/>
    <x v="198"/>
    <n v="13401"/>
    <n v="100"/>
    <n v="4"/>
    <n v="0"/>
  </r>
  <r>
    <x v="210"/>
    <x v="0"/>
    <x v="1"/>
    <x v="0"/>
    <x v="0"/>
    <x v="0"/>
    <x v="0"/>
    <n v="13398"/>
    <n v="13410"/>
    <x v="56"/>
    <n v="4666"/>
    <n v="35"/>
    <n v="8733"/>
    <n v="65"/>
  </r>
  <r>
    <x v="211"/>
    <x v="0"/>
    <x v="1"/>
    <x v="1"/>
    <x v="2"/>
    <x v="1"/>
    <x v="43"/>
    <n v="13323"/>
    <n v="8971"/>
    <x v="199"/>
    <n v="5734"/>
    <n v="43"/>
    <n v="7589"/>
    <n v="57"/>
  </r>
  <r>
    <x v="212"/>
    <x v="0"/>
    <x v="1"/>
    <x v="0"/>
    <x v="0"/>
    <x v="0"/>
    <x v="33"/>
    <n v="13320"/>
    <n v="8569"/>
    <x v="200"/>
    <n v="464"/>
    <n v="3"/>
    <n v="12856"/>
    <n v="97"/>
  </r>
  <r>
    <x v="213"/>
    <x v="0"/>
    <x v="1"/>
    <x v="1"/>
    <x v="2"/>
    <x v="0"/>
    <x v="17"/>
    <n v="13291"/>
    <n v="10114"/>
    <x v="201"/>
    <n v="4068"/>
    <n v="31"/>
    <n v="9223"/>
    <n v="69"/>
  </r>
  <r>
    <x v="214"/>
    <x v="2"/>
    <x v="1"/>
    <x v="0"/>
    <x v="6"/>
    <x v="1"/>
    <x v="16"/>
    <n v="13287"/>
    <n v="13295"/>
    <x v="56"/>
    <n v="13287"/>
    <n v="100"/>
    <n v="0"/>
    <n v="0"/>
  </r>
  <r>
    <x v="215"/>
    <x v="0"/>
    <x v="1"/>
    <x v="0"/>
    <x v="0"/>
    <x v="0"/>
    <x v="16"/>
    <n v="13282"/>
    <n v="12309"/>
    <x v="202"/>
    <n v="11171"/>
    <n v="84"/>
    <n v="2110"/>
    <n v="16"/>
  </r>
  <r>
    <x v="216"/>
    <x v="0"/>
    <x v="1"/>
    <x v="1"/>
    <x v="2"/>
    <x v="0"/>
    <x v="21"/>
    <n v="13273"/>
    <n v="4702"/>
    <x v="203"/>
    <n v="575"/>
    <n v="4"/>
    <n v="12698"/>
    <n v="96"/>
  </r>
  <r>
    <x v="217"/>
    <x v="2"/>
    <x v="1"/>
    <x v="0"/>
    <x v="7"/>
    <x v="1"/>
    <x v="2"/>
    <n v="13220"/>
    <n v="11620"/>
    <x v="204"/>
    <n v="45"/>
    <n v="0"/>
    <n v="13175"/>
    <n v="100"/>
  </r>
  <r>
    <x v="218"/>
    <x v="0"/>
    <x v="1"/>
    <x v="0"/>
    <x v="1"/>
    <x v="0"/>
    <x v="10"/>
    <n v="13208"/>
    <n v="12134"/>
    <x v="205"/>
    <n v="11821"/>
    <n v="89"/>
    <n v="1387"/>
    <n v="11"/>
  </r>
  <r>
    <x v="219"/>
    <x v="0"/>
    <x v="1"/>
    <x v="0"/>
    <x v="3"/>
    <x v="0"/>
    <x v="8"/>
    <n v="13066"/>
    <n v="7612"/>
    <x v="206"/>
    <n v="5542"/>
    <n v="42"/>
    <n v="7524"/>
    <n v="58"/>
  </r>
  <r>
    <x v="220"/>
    <x v="0"/>
    <x v="1"/>
    <x v="0"/>
    <x v="0"/>
    <x v="0"/>
    <x v="26"/>
    <n v="13040"/>
    <n v="12982"/>
    <x v="207"/>
    <n v="7413"/>
    <n v="57"/>
    <n v="5627"/>
    <n v="43"/>
  </r>
  <r>
    <x v="221"/>
    <x v="0"/>
    <x v="1"/>
    <x v="0"/>
    <x v="18"/>
    <x v="1"/>
    <x v="43"/>
    <n v="13009"/>
    <n v="13017"/>
    <x v="56"/>
    <n v="12964"/>
    <n v="100"/>
    <n v="46"/>
    <n v="0"/>
  </r>
  <r>
    <x v="222"/>
    <x v="0"/>
    <x v="1"/>
    <x v="0"/>
    <x v="0"/>
    <x v="0"/>
    <x v="2"/>
    <n v="12994"/>
    <n v="13000"/>
    <x v="56"/>
    <n v="5593"/>
    <n v="43"/>
    <n v="7401"/>
    <n v="57"/>
  </r>
  <r>
    <x v="223"/>
    <x v="2"/>
    <x v="14"/>
    <x v="0"/>
    <x v="1"/>
    <x v="1"/>
    <x v="47"/>
    <n v="12992"/>
    <n v="10480"/>
    <x v="208"/>
    <n v="12992"/>
    <n v="100"/>
    <n v="0"/>
    <n v="0"/>
  </r>
  <r>
    <x v="224"/>
    <x v="1"/>
    <x v="1"/>
    <x v="1"/>
    <x v="9"/>
    <x v="0"/>
    <x v="1"/>
    <n v="12985"/>
    <n v="8772"/>
    <x v="209"/>
    <n v="2161"/>
    <n v="17"/>
    <n v="10824"/>
    <n v="83"/>
  </r>
  <r>
    <x v="225"/>
    <x v="0"/>
    <x v="1"/>
    <x v="1"/>
    <x v="2"/>
    <x v="0"/>
    <x v="20"/>
    <n v="12930"/>
    <n v="5938"/>
    <x v="210"/>
    <n v="1490"/>
    <n v="12"/>
    <n v="11440"/>
    <n v="88"/>
  </r>
  <r>
    <x v="226"/>
    <x v="0"/>
    <x v="23"/>
    <x v="1"/>
    <x v="9"/>
    <x v="0"/>
    <x v="29"/>
    <n v="12858"/>
    <n v="11010"/>
    <x v="211"/>
    <n v="3301"/>
    <n v="26"/>
    <n v="9557"/>
    <n v="74"/>
  </r>
  <r>
    <x v="227"/>
    <x v="0"/>
    <x v="1"/>
    <x v="0"/>
    <x v="0"/>
    <x v="0"/>
    <x v="7"/>
    <n v="12824"/>
    <n v="5535"/>
    <x v="212"/>
    <n v="2109"/>
    <n v="16"/>
    <n v="10715"/>
    <n v="84"/>
  </r>
  <r>
    <x v="228"/>
    <x v="0"/>
    <x v="10"/>
    <x v="1"/>
    <x v="10"/>
    <x v="0"/>
    <x v="26"/>
    <n v="12811"/>
    <n v="6583"/>
    <x v="14"/>
    <n v="1708"/>
    <n v="13"/>
    <n v="11103"/>
    <n v="87"/>
  </r>
  <r>
    <x v="229"/>
    <x v="0"/>
    <x v="1"/>
    <x v="1"/>
    <x v="2"/>
    <x v="1"/>
    <x v="21"/>
    <n v="12800"/>
    <n v="5018"/>
    <x v="213"/>
    <n v="1714"/>
    <n v="13"/>
    <n v="11086"/>
    <n v="87"/>
  </r>
  <r>
    <x v="230"/>
    <x v="0"/>
    <x v="11"/>
    <x v="0"/>
    <x v="5"/>
    <x v="1"/>
    <x v="4"/>
    <n v="12788"/>
    <n v="12026"/>
    <x v="214"/>
    <n v="11526"/>
    <n v="90"/>
    <n v="1262"/>
    <n v="10"/>
  </r>
  <r>
    <x v="231"/>
    <x v="0"/>
    <x v="1"/>
    <x v="0"/>
    <x v="0"/>
    <x v="0"/>
    <x v="7"/>
    <n v="12751"/>
    <n v="8482"/>
    <x v="215"/>
    <n v="5660"/>
    <n v="44"/>
    <n v="7091"/>
    <n v="56"/>
  </r>
  <r>
    <x v="232"/>
    <x v="1"/>
    <x v="5"/>
    <x v="2"/>
    <x v="4"/>
    <x v="1"/>
    <x v="7"/>
    <n v="12716"/>
    <n v="2649"/>
    <x v="216"/>
    <n v="12243"/>
    <n v="96"/>
    <n v="474"/>
    <n v="4"/>
  </r>
  <r>
    <x v="233"/>
    <x v="0"/>
    <x v="1"/>
    <x v="1"/>
    <x v="2"/>
    <x v="0"/>
    <x v="3"/>
    <n v="12713"/>
    <n v="12596"/>
    <x v="217"/>
    <n v="1285"/>
    <n v="10"/>
    <n v="11428"/>
    <n v="90"/>
  </r>
  <r>
    <x v="234"/>
    <x v="1"/>
    <x v="1"/>
    <x v="0"/>
    <x v="1"/>
    <x v="0"/>
    <x v="16"/>
    <n v="12701"/>
    <n v="8281"/>
    <x v="218"/>
    <n v="7764"/>
    <n v="61"/>
    <n v="4937"/>
    <n v="39"/>
  </r>
  <r>
    <x v="235"/>
    <x v="0"/>
    <x v="2"/>
    <x v="0"/>
    <x v="1"/>
    <x v="0"/>
    <x v="8"/>
    <n v="12651"/>
    <n v="11398"/>
    <x v="219"/>
    <n v="5777"/>
    <n v="46"/>
    <n v="6874"/>
    <n v="54"/>
  </r>
  <r>
    <x v="236"/>
    <x v="0"/>
    <x v="0"/>
    <x v="0"/>
    <x v="1"/>
    <x v="0"/>
    <x v="25"/>
    <n v="12648"/>
    <n v="11934"/>
    <x v="220"/>
    <n v="10363"/>
    <n v="82"/>
    <n v="2285"/>
    <n v="18"/>
  </r>
  <r>
    <x v="237"/>
    <x v="0"/>
    <x v="1"/>
    <x v="0"/>
    <x v="0"/>
    <x v="0"/>
    <x v="21"/>
    <n v="12593"/>
    <n v="6266"/>
    <x v="221"/>
    <n v="352"/>
    <n v="3"/>
    <n v="12242"/>
    <n v="97"/>
  </r>
  <r>
    <x v="238"/>
    <x v="1"/>
    <x v="2"/>
    <x v="0"/>
    <x v="1"/>
    <x v="0"/>
    <x v="1"/>
    <n v="12593"/>
    <n v="12543"/>
    <x v="222"/>
    <n v="3707"/>
    <n v="29"/>
    <n v="8886"/>
    <n v="71"/>
  </r>
  <r>
    <x v="239"/>
    <x v="0"/>
    <x v="2"/>
    <x v="0"/>
    <x v="5"/>
    <x v="1"/>
    <x v="30"/>
    <n v="12566"/>
    <n v="4906"/>
    <x v="223"/>
    <n v="12336"/>
    <n v="98"/>
    <n v="230"/>
    <n v="2"/>
  </r>
  <r>
    <x v="240"/>
    <x v="0"/>
    <x v="1"/>
    <x v="0"/>
    <x v="1"/>
    <x v="0"/>
    <x v="48"/>
    <n v="12422"/>
    <n v="12000"/>
    <x v="224"/>
    <n v="9163"/>
    <n v="74"/>
    <n v="3259"/>
    <n v="26"/>
  </r>
  <r>
    <x v="241"/>
    <x v="0"/>
    <x v="12"/>
    <x v="4"/>
    <x v="7"/>
    <x v="0"/>
    <x v="14"/>
    <n v="12403"/>
    <n v="7261"/>
    <x v="225"/>
    <n v="376"/>
    <n v="3"/>
    <n v="12027"/>
    <n v="97"/>
  </r>
  <r>
    <x v="242"/>
    <x v="0"/>
    <x v="1"/>
    <x v="1"/>
    <x v="2"/>
    <x v="0"/>
    <x v="7"/>
    <n v="12395"/>
    <n v="4419"/>
    <x v="226"/>
    <n v="1528"/>
    <n v="12"/>
    <n v="10866"/>
    <n v="88"/>
  </r>
  <r>
    <x v="243"/>
    <x v="0"/>
    <x v="17"/>
    <x v="5"/>
    <x v="15"/>
    <x v="0"/>
    <x v="2"/>
    <n v="12325"/>
    <n v="10394"/>
    <x v="227"/>
    <n v="8842"/>
    <n v="72"/>
    <n v="3483"/>
    <n v="28"/>
  </r>
  <r>
    <x v="244"/>
    <x v="0"/>
    <x v="1"/>
    <x v="1"/>
    <x v="0"/>
    <x v="0"/>
    <x v="17"/>
    <n v="12210"/>
    <n v="8938"/>
    <x v="228"/>
    <n v="3226"/>
    <n v="26"/>
    <n v="8983"/>
    <n v="74"/>
  </r>
  <r>
    <x v="245"/>
    <x v="0"/>
    <x v="10"/>
    <x v="1"/>
    <x v="10"/>
    <x v="1"/>
    <x v="14"/>
    <n v="12151"/>
    <n v="8590"/>
    <x v="229"/>
    <n v="2705"/>
    <n v="22"/>
    <n v="9446"/>
    <n v="78"/>
  </r>
  <r>
    <x v="246"/>
    <x v="0"/>
    <x v="8"/>
    <x v="3"/>
    <x v="8"/>
    <x v="0"/>
    <x v="16"/>
    <n v="12137"/>
    <n v="8"/>
    <x v="230"/>
    <n v="0"/>
    <n v="0"/>
    <n v="12137"/>
    <n v="100"/>
  </r>
  <r>
    <x v="247"/>
    <x v="1"/>
    <x v="1"/>
    <x v="0"/>
    <x v="3"/>
    <x v="0"/>
    <x v="25"/>
    <n v="12100"/>
    <n v="8350"/>
    <x v="231"/>
    <n v="7341"/>
    <n v="61"/>
    <n v="4758"/>
    <n v="39"/>
  </r>
  <r>
    <x v="248"/>
    <x v="1"/>
    <x v="1"/>
    <x v="0"/>
    <x v="1"/>
    <x v="0"/>
    <x v="2"/>
    <n v="12095"/>
    <n v="7821"/>
    <x v="232"/>
    <n v="7189"/>
    <n v="59"/>
    <n v="4905"/>
    <n v="41"/>
  </r>
  <r>
    <x v="249"/>
    <x v="0"/>
    <x v="1"/>
    <x v="0"/>
    <x v="1"/>
    <x v="0"/>
    <x v="7"/>
    <n v="11967"/>
    <n v="10802"/>
    <x v="233"/>
    <n v="7423"/>
    <n v="62"/>
    <n v="4544"/>
    <n v="38"/>
  </r>
  <r>
    <x v="250"/>
    <x v="1"/>
    <x v="1"/>
    <x v="0"/>
    <x v="1"/>
    <x v="0"/>
    <x v="38"/>
    <n v="11880"/>
    <n v="10123"/>
    <x v="234"/>
    <n v="8528"/>
    <n v="72"/>
    <n v="3352"/>
    <n v="28"/>
  </r>
  <r>
    <x v="251"/>
    <x v="0"/>
    <x v="10"/>
    <x v="1"/>
    <x v="9"/>
    <x v="1"/>
    <x v="6"/>
    <n v="11854"/>
    <n v="9901"/>
    <x v="235"/>
    <n v="5249"/>
    <n v="44"/>
    <n v="6605"/>
    <n v="56"/>
  </r>
  <r>
    <x v="252"/>
    <x v="0"/>
    <x v="1"/>
    <x v="0"/>
    <x v="3"/>
    <x v="0"/>
    <x v="3"/>
    <n v="11822"/>
    <n v="7455"/>
    <x v="236"/>
    <n v="5783"/>
    <n v="49"/>
    <n v="6038"/>
    <n v="51"/>
  </r>
  <r>
    <x v="253"/>
    <x v="1"/>
    <x v="1"/>
    <x v="0"/>
    <x v="1"/>
    <x v="0"/>
    <x v="2"/>
    <n v="11817"/>
    <n v="9732"/>
    <x v="237"/>
    <n v="7684"/>
    <n v="65"/>
    <n v="4133"/>
    <n v="35"/>
  </r>
  <r>
    <x v="254"/>
    <x v="0"/>
    <x v="1"/>
    <x v="0"/>
    <x v="0"/>
    <x v="0"/>
    <x v="17"/>
    <n v="11783"/>
    <n v="10688"/>
    <x v="238"/>
    <n v="8810"/>
    <n v="75"/>
    <n v="2974"/>
    <n v="25"/>
  </r>
  <r>
    <x v="255"/>
    <x v="1"/>
    <x v="25"/>
    <x v="0"/>
    <x v="1"/>
    <x v="0"/>
    <x v="9"/>
    <n v="11721"/>
    <n v="11036"/>
    <x v="239"/>
    <n v="10606"/>
    <n v="90"/>
    <n v="1115"/>
    <n v="10"/>
  </r>
  <r>
    <x v="256"/>
    <x v="0"/>
    <x v="17"/>
    <x v="5"/>
    <x v="0"/>
    <x v="0"/>
    <x v="27"/>
    <n v="11715"/>
    <n v="1404"/>
    <x v="240"/>
    <n v="8"/>
    <n v="0"/>
    <n v="11707"/>
    <n v="100"/>
  </r>
  <r>
    <x v="257"/>
    <x v="0"/>
    <x v="1"/>
    <x v="0"/>
    <x v="11"/>
    <x v="0"/>
    <x v="7"/>
    <n v="11679"/>
    <n v="9802"/>
    <x v="101"/>
    <n v="9722"/>
    <n v="83"/>
    <n v="1957"/>
    <n v="17"/>
  </r>
  <r>
    <x v="258"/>
    <x v="0"/>
    <x v="26"/>
    <x v="0"/>
    <x v="0"/>
    <x v="0"/>
    <x v="18"/>
    <n v="11641"/>
    <n v="6068"/>
    <x v="241"/>
    <n v="325"/>
    <n v="3"/>
    <n v="11315"/>
    <n v="97"/>
  </r>
  <r>
    <x v="259"/>
    <x v="1"/>
    <x v="1"/>
    <x v="0"/>
    <x v="1"/>
    <x v="0"/>
    <x v="14"/>
    <n v="11633"/>
    <n v="11637"/>
    <x v="56"/>
    <n v="11490"/>
    <n v="99"/>
    <n v="143"/>
    <n v="1"/>
  </r>
  <r>
    <x v="260"/>
    <x v="0"/>
    <x v="1"/>
    <x v="0"/>
    <x v="5"/>
    <x v="0"/>
    <x v="49"/>
    <n v="11589"/>
    <n v="11545"/>
    <x v="100"/>
    <n v="10654"/>
    <n v="92"/>
    <n v="935"/>
    <n v="8"/>
  </r>
  <r>
    <x v="261"/>
    <x v="0"/>
    <x v="1"/>
    <x v="0"/>
    <x v="0"/>
    <x v="0"/>
    <x v="0"/>
    <n v="11575"/>
    <n v="3209"/>
    <x v="242"/>
    <n v="747"/>
    <n v="6"/>
    <n v="10828"/>
    <n v="94"/>
  </r>
  <r>
    <x v="262"/>
    <x v="0"/>
    <x v="27"/>
    <x v="1"/>
    <x v="2"/>
    <x v="0"/>
    <x v="27"/>
    <n v="11566"/>
    <n v="7224"/>
    <x v="243"/>
    <n v="4663"/>
    <n v="40"/>
    <n v="6903"/>
    <n v="60"/>
  </r>
  <r>
    <x v="263"/>
    <x v="0"/>
    <x v="28"/>
    <x v="0"/>
    <x v="7"/>
    <x v="0"/>
    <x v="8"/>
    <n v="11481"/>
    <n v="11486"/>
    <x v="56"/>
    <n v="236"/>
    <n v="2"/>
    <n v="11246"/>
    <n v="98"/>
  </r>
  <r>
    <x v="264"/>
    <x v="2"/>
    <x v="1"/>
    <x v="0"/>
    <x v="5"/>
    <x v="1"/>
    <x v="6"/>
    <n v="11480"/>
    <n v="8241"/>
    <x v="244"/>
    <n v="11420"/>
    <n v="99"/>
    <n v="60"/>
    <n v="1"/>
  </r>
  <r>
    <x v="265"/>
    <x v="0"/>
    <x v="1"/>
    <x v="0"/>
    <x v="0"/>
    <x v="0"/>
    <x v="9"/>
    <n v="11475"/>
    <n v="3956"/>
    <x v="245"/>
    <n v="546"/>
    <n v="5"/>
    <n v="10929"/>
    <n v="95"/>
  </r>
  <r>
    <x v="266"/>
    <x v="0"/>
    <x v="7"/>
    <x v="7"/>
    <x v="0"/>
    <x v="0"/>
    <x v="17"/>
    <n v="11460"/>
    <n v="7070"/>
    <x v="246"/>
    <n v="5201"/>
    <n v="45"/>
    <n v="6258"/>
    <n v="55"/>
  </r>
  <r>
    <x v="267"/>
    <x v="0"/>
    <x v="1"/>
    <x v="0"/>
    <x v="3"/>
    <x v="0"/>
    <x v="0"/>
    <n v="11428"/>
    <n v="7562"/>
    <x v="247"/>
    <n v="6109"/>
    <n v="53"/>
    <n v="5320"/>
    <n v="47"/>
  </r>
  <r>
    <x v="268"/>
    <x v="0"/>
    <x v="1"/>
    <x v="0"/>
    <x v="5"/>
    <x v="1"/>
    <x v="50"/>
    <n v="11314"/>
    <n v="11274"/>
    <x v="248"/>
    <n v="11265"/>
    <n v="100"/>
    <n v="49"/>
    <n v="0"/>
  </r>
  <r>
    <x v="269"/>
    <x v="0"/>
    <x v="1"/>
    <x v="0"/>
    <x v="3"/>
    <x v="0"/>
    <x v="6"/>
    <n v="11238"/>
    <n v="4610"/>
    <x v="249"/>
    <n v="840"/>
    <n v="7"/>
    <n v="10398"/>
    <n v="93"/>
  </r>
  <r>
    <x v="270"/>
    <x v="0"/>
    <x v="5"/>
    <x v="2"/>
    <x v="4"/>
    <x v="0"/>
    <x v="1"/>
    <n v="11233"/>
    <n v="9654"/>
    <x v="250"/>
    <n v="4076"/>
    <n v="36"/>
    <n v="7156"/>
    <n v="64"/>
  </r>
  <r>
    <x v="271"/>
    <x v="0"/>
    <x v="1"/>
    <x v="0"/>
    <x v="7"/>
    <x v="0"/>
    <x v="8"/>
    <n v="11199"/>
    <n v="5328"/>
    <x v="251"/>
    <n v="962"/>
    <n v="9"/>
    <n v="10237"/>
    <n v="91"/>
  </r>
  <r>
    <x v="272"/>
    <x v="0"/>
    <x v="1"/>
    <x v="0"/>
    <x v="0"/>
    <x v="0"/>
    <x v="0"/>
    <n v="11196"/>
    <n v="10288"/>
    <x v="252"/>
    <n v="657"/>
    <n v="6"/>
    <n v="10539"/>
    <n v="94"/>
  </r>
  <r>
    <x v="273"/>
    <x v="0"/>
    <x v="29"/>
    <x v="0"/>
    <x v="19"/>
    <x v="0"/>
    <x v="4"/>
    <n v="11149"/>
    <n v="3260"/>
    <x v="253"/>
    <n v="1292"/>
    <n v="12"/>
    <n v="9857"/>
    <n v="88"/>
  </r>
  <r>
    <x v="274"/>
    <x v="0"/>
    <x v="2"/>
    <x v="0"/>
    <x v="5"/>
    <x v="1"/>
    <x v="37"/>
    <n v="11064"/>
    <n v="11074"/>
    <x v="56"/>
    <n v="11061"/>
    <n v="100"/>
    <n v="2"/>
    <n v="0"/>
  </r>
  <r>
    <x v="275"/>
    <x v="1"/>
    <x v="1"/>
    <x v="0"/>
    <x v="1"/>
    <x v="0"/>
    <x v="10"/>
    <n v="11060"/>
    <n v="6056"/>
    <x v="254"/>
    <n v="4661"/>
    <n v="42"/>
    <n v="6399"/>
    <n v="58"/>
  </r>
  <r>
    <x v="276"/>
    <x v="0"/>
    <x v="1"/>
    <x v="0"/>
    <x v="18"/>
    <x v="1"/>
    <x v="10"/>
    <n v="11051"/>
    <n v="11056"/>
    <x v="56"/>
    <n v="11051"/>
    <n v="100"/>
    <n v="0"/>
    <n v="0"/>
  </r>
  <r>
    <x v="277"/>
    <x v="0"/>
    <x v="8"/>
    <x v="3"/>
    <x v="8"/>
    <x v="0"/>
    <x v="3"/>
    <n v="11015"/>
    <n v="5794"/>
    <x v="255"/>
    <n v="0"/>
    <n v="0"/>
    <n v="11015"/>
    <n v="100"/>
  </r>
  <r>
    <x v="278"/>
    <x v="1"/>
    <x v="2"/>
    <x v="0"/>
    <x v="1"/>
    <x v="1"/>
    <x v="4"/>
    <n v="10986"/>
    <n v="0"/>
    <x v="256"/>
    <n v="6917"/>
    <n v="63"/>
    <n v="4069"/>
    <n v="37"/>
  </r>
  <r>
    <x v="279"/>
    <x v="0"/>
    <x v="4"/>
    <x v="1"/>
    <x v="2"/>
    <x v="0"/>
    <x v="27"/>
    <n v="10974"/>
    <n v="9512"/>
    <x v="257"/>
    <n v="3646"/>
    <n v="33"/>
    <n v="7328"/>
    <n v="67"/>
  </r>
  <r>
    <x v="280"/>
    <x v="0"/>
    <x v="1"/>
    <x v="0"/>
    <x v="0"/>
    <x v="0"/>
    <x v="34"/>
    <n v="10969"/>
    <n v="5006"/>
    <x v="258"/>
    <n v="7035"/>
    <n v="64"/>
    <n v="3934"/>
    <n v="36"/>
  </r>
  <r>
    <x v="281"/>
    <x v="1"/>
    <x v="24"/>
    <x v="0"/>
    <x v="6"/>
    <x v="0"/>
    <x v="9"/>
    <n v="10939"/>
    <n v="9359"/>
    <x v="259"/>
    <n v="10795"/>
    <n v="99"/>
    <n v="144"/>
    <n v="1"/>
  </r>
  <r>
    <x v="282"/>
    <x v="0"/>
    <x v="1"/>
    <x v="1"/>
    <x v="2"/>
    <x v="0"/>
    <x v="0"/>
    <n v="10933"/>
    <n v="10906"/>
    <x v="260"/>
    <n v="8"/>
    <n v="0"/>
    <n v="10925"/>
    <n v="100"/>
  </r>
  <r>
    <x v="283"/>
    <x v="0"/>
    <x v="17"/>
    <x v="5"/>
    <x v="15"/>
    <x v="1"/>
    <x v="4"/>
    <n v="10914"/>
    <n v="9203"/>
    <x v="261"/>
    <n v="8573"/>
    <n v="79"/>
    <n v="2341"/>
    <n v="21"/>
  </r>
  <r>
    <x v="284"/>
    <x v="0"/>
    <x v="12"/>
    <x v="4"/>
    <x v="18"/>
    <x v="1"/>
    <x v="29"/>
    <n v="10903"/>
    <n v="10910"/>
    <x v="56"/>
    <n v="10773"/>
    <n v="99"/>
    <n v="129"/>
    <n v="1"/>
  </r>
  <r>
    <x v="285"/>
    <x v="0"/>
    <x v="2"/>
    <x v="0"/>
    <x v="1"/>
    <x v="0"/>
    <x v="8"/>
    <n v="10783"/>
    <n v="7412"/>
    <x v="262"/>
    <n v="5820"/>
    <n v="54"/>
    <n v="4963"/>
    <n v="46"/>
  </r>
  <r>
    <x v="286"/>
    <x v="0"/>
    <x v="1"/>
    <x v="1"/>
    <x v="2"/>
    <x v="0"/>
    <x v="10"/>
    <n v="10776"/>
    <n v="10712"/>
    <x v="263"/>
    <n v="292"/>
    <n v="3"/>
    <n v="10484"/>
    <n v="97"/>
  </r>
  <r>
    <x v="287"/>
    <x v="0"/>
    <x v="1"/>
    <x v="1"/>
    <x v="2"/>
    <x v="0"/>
    <x v="8"/>
    <n v="10772"/>
    <n v="596"/>
    <x v="264"/>
    <n v="689"/>
    <n v="6"/>
    <n v="10083"/>
    <n v="94"/>
  </r>
  <r>
    <x v="288"/>
    <x v="0"/>
    <x v="1"/>
    <x v="0"/>
    <x v="5"/>
    <x v="1"/>
    <x v="33"/>
    <n v="10771"/>
    <n v="10772"/>
    <x v="265"/>
    <n v="10576"/>
    <n v="98"/>
    <n v="195"/>
    <n v="2"/>
  </r>
  <r>
    <x v="289"/>
    <x v="0"/>
    <x v="1"/>
    <x v="0"/>
    <x v="5"/>
    <x v="1"/>
    <x v="3"/>
    <n v="10768"/>
    <n v="1894"/>
    <x v="266"/>
    <n v="10569"/>
    <n v="98"/>
    <n v="198"/>
    <n v="2"/>
  </r>
  <r>
    <x v="290"/>
    <x v="0"/>
    <x v="1"/>
    <x v="0"/>
    <x v="5"/>
    <x v="1"/>
    <x v="29"/>
    <n v="10760"/>
    <n v="10630"/>
    <x v="267"/>
    <n v="10585"/>
    <n v="98"/>
    <n v="176"/>
    <n v="2"/>
  </r>
  <r>
    <x v="291"/>
    <x v="1"/>
    <x v="1"/>
    <x v="0"/>
    <x v="3"/>
    <x v="0"/>
    <x v="26"/>
    <n v="10756"/>
    <n v="7776"/>
    <x v="268"/>
    <n v="3835"/>
    <n v="36"/>
    <n v="6922"/>
    <n v="64"/>
  </r>
  <r>
    <x v="292"/>
    <x v="1"/>
    <x v="1"/>
    <x v="0"/>
    <x v="3"/>
    <x v="0"/>
    <x v="18"/>
    <n v="10732"/>
    <n v="6225"/>
    <x v="269"/>
    <n v="3239"/>
    <n v="30"/>
    <n v="7492"/>
    <n v="70"/>
  </r>
  <r>
    <x v="293"/>
    <x v="1"/>
    <x v="1"/>
    <x v="0"/>
    <x v="3"/>
    <x v="0"/>
    <x v="14"/>
    <n v="10713"/>
    <n v="6060"/>
    <x v="270"/>
    <n v="4257"/>
    <n v="40"/>
    <n v="6455"/>
    <n v="60"/>
  </r>
  <r>
    <x v="294"/>
    <x v="2"/>
    <x v="2"/>
    <x v="0"/>
    <x v="1"/>
    <x v="1"/>
    <x v="9"/>
    <n v="10711"/>
    <n v="10381"/>
    <x v="271"/>
    <n v="73"/>
    <n v="1"/>
    <n v="10638"/>
    <n v="99"/>
  </r>
  <r>
    <x v="295"/>
    <x v="0"/>
    <x v="2"/>
    <x v="0"/>
    <x v="5"/>
    <x v="0"/>
    <x v="40"/>
    <n v="10697"/>
    <n v="8380"/>
    <x v="272"/>
    <n v="8204"/>
    <n v="77"/>
    <n v="2492"/>
    <n v="23"/>
  </r>
  <r>
    <x v="296"/>
    <x v="0"/>
    <x v="21"/>
    <x v="0"/>
    <x v="5"/>
    <x v="1"/>
    <x v="31"/>
    <n v="10616"/>
    <n v="10020"/>
    <x v="273"/>
    <n v="9771"/>
    <n v="92"/>
    <n v="845"/>
    <n v="8"/>
  </r>
  <r>
    <x v="297"/>
    <x v="0"/>
    <x v="1"/>
    <x v="1"/>
    <x v="14"/>
    <x v="1"/>
    <x v="5"/>
    <n v="10607"/>
    <n v="10520"/>
    <x v="274"/>
    <n v="8371"/>
    <n v="79"/>
    <n v="2236"/>
    <n v="21"/>
  </r>
  <r>
    <x v="298"/>
    <x v="0"/>
    <x v="1"/>
    <x v="0"/>
    <x v="5"/>
    <x v="1"/>
    <x v="37"/>
    <n v="10571"/>
    <n v="10570"/>
    <x v="275"/>
    <n v="10556"/>
    <n v="100"/>
    <n v="16"/>
    <n v="0"/>
  </r>
  <r>
    <x v="299"/>
    <x v="0"/>
    <x v="2"/>
    <x v="0"/>
    <x v="5"/>
    <x v="1"/>
    <x v="9"/>
    <n v="10490"/>
    <n v="10192"/>
    <x v="276"/>
    <n v="10166"/>
    <n v="97"/>
    <n v="324"/>
    <n v="3"/>
  </r>
  <r>
    <x v="300"/>
    <x v="1"/>
    <x v="22"/>
    <x v="1"/>
    <x v="9"/>
    <x v="0"/>
    <x v="27"/>
    <n v="10477"/>
    <n v="3978"/>
    <x v="277"/>
    <n v="2597"/>
    <n v="25"/>
    <n v="7880"/>
    <n v="75"/>
  </r>
  <r>
    <x v="301"/>
    <x v="0"/>
    <x v="2"/>
    <x v="0"/>
    <x v="0"/>
    <x v="0"/>
    <x v="0"/>
    <n v="10449"/>
    <n v="7063"/>
    <x v="278"/>
    <n v="6338"/>
    <n v="61"/>
    <n v="4111"/>
    <n v="39"/>
  </r>
  <r>
    <x v="302"/>
    <x v="0"/>
    <x v="1"/>
    <x v="0"/>
    <x v="3"/>
    <x v="0"/>
    <x v="7"/>
    <n v="10369"/>
    <n v="9179"/>
    <x v="279"/>
    <n v="8971"/>
    <n v="87"/>
    <n v="1398"/>
    <n v="13"/>
  </r>
  <r>
    <x v="303"/>
    <x v="0"/>
    <x v="1"/>
    <x v="1"/>
    <x v="2"/>
    <x v="0"/>
    <x v="3"/>
    <n v="10353"/>
    <n v="1938"/>
    <x v="280"/>
    <n v="410"/>
    <n v="4"/>
    <n v="9943"/>
    <n v="96"/>
  </r>
  <r>
    <x v="304"/>
    <x v="0"/>
    <x v="30"/>
    <x v="0"/>
    <x v="1"/>
    <x v="0"/>
    <x v="0"/>
    <n v="10333"/>
    <n v="7323"/>
    <x v="281"/>
    <n v="6154"/>
    <n v="60"/>
    <n v="4179"/>
    <n v="40"/>
  </r>
  <r>
    <x v="305"/>
    <x v="0"/>
    <x v="1"/>
    <x v="0"/>
    <x v="1"/>
    <x v="0"/>
    <x v="17"/>
    <n v="10314"/>
    <n v="10145"/>
    <x v="282"/>
    <n v="10142"/>
    <n v="98"/>
    <n v="172"/>
    <n v="2"/>
  </r>
  <r>
    <x v="306"/>
    <x v="0"/>
    <x v="1"/>
    <x v="0"/>
    <x v="0"/>
    <x v="0"/>
    <x v="10"/>
    <n v="10293"/>
    <n v="6016"/>
    <x v="283"/>
    <n v="746"/>
    <n v="7"/>
    <n v="9547"/>
    <n v="93"/>
  </r>
  <r>
    <x v="307"/>
    <x v="0"/>
    <x v="29"/>
    <x v="0"/>
    <x v="19"/>
    <x v="0"/>
    <x v="9"/>
    <n v="10291"/>
    <n v="2289"/>
    <x v="284"/>
    <n v="4396"/>
    <n v="43"/>
    <n v="5895"/>
    <n v="57"/>
  </r>
  <r>
    <x v="308"/>
    <x v="0"/>
    <x v="31"/>
    <x v="1"/>
    <x v="9"/>
    <x v="0"/>
    <x v="2"/>
    <n v="10234"/>
    <n v="8102"/>
    <x v="285"/>
    <n v="6955"/>
    <n v="68"/>
    <n v="3279"/>
    <n v="32"/>
  </r>
  <r>
    <x v="309"/>
    <x v="0"/>
    <x v="1"/>
    <x v="0"/>
    <x v="0"/>
    <x v="0"/>
    <x v="20"/>
    <n v="10231"/>
    <n v="7551"/>
    <x v="286"/>
    <n v="2118"/>
    <n v="21"/>
    <n v="8113"/>
    <n v="79"/>
  </r>
  <r>
    <x v="310"/>
    <x v="0"/>
    <x v="1"/>
    <x v="0"/>
    <x v="5"/>
    <x v="1"/>
    <x v="18"/>
    <n v="10180"/>
    <n v="10186"/>
    <x v="56"/>
    <n v="10133"/>
    <n v="100"/>
    <n v="47"/>
    <n v="0"/>
  </r>
  <r>
    <x v="311"/>
    <x v="1"/>
    <x v="0"/>
    <x v="0"/>
    <x v="1"/>
    <x v="0"/>
    <x v="7"/>
    <n v="10179"/>
    <n v="6431"/>
    <x v="287"/>
    <n v="5420"/>
    <n v="53"/>
    <n v="4759"/>
    <n v="47"/>
  </r>
  <r>
    <x v="312"/>
    <x v="0"/>
    <x v="8"/>
    <x v="3"/>
    <x v="8"/>
    <x v="1"/>
    <x v="10"/>
    <n v="10165"/>
    <n v="8859"/>
    <x v="288"/>
    <n v="7"/>
    <n v="0"/>
    <n v="10158"/>
    <n v="100"/>
  </r>
  <r>
    <x v="313"/>
    <x v="0"/>
    <x v="22"/>
    <x v="1"/>
    <x v="0"/>
    <x v="0"/>
    <x v="17"/>
    <n v="10160"/>
    <n v="8082"/>
    <x v="289"/>
    <n v="6415"/>
    <n v="63"/>
    <n v="3745"/>
    <n v="37"/>
  </r>
  <r>
    <x v="314"/>
    <x v="0"/>
    <x v="10"/>
    <x v="1"/>
    <x v="10"/>
    <x v="1"/>
    <x v="15"/>
    <n v="10148"/>
    <n v="10066"/>
    <x v="290"/>
    <n v="9957"/>
    <n v="98"/>
    <n v="191"/>
    <n v="2"/>
  </r>
  <r>
    <x v="315"/>
    <x v="0"/>
    <x v="1"/>
    <x v="0"/>
    <x v="0"/>
    <x v="0"/>
    <x v="7"/>
    <n v="10142"/>
    <n v="9084"/>
    <x v="291"/>
    <n v="7696"/>
    <n v="76"/>
    <n v="2445"/>
    <n v="24"/>
  </r>
  <r>
    <x v="316"/>
    <x v="0"/>
    <x v="17"/>
    <x v="5"/>
    <x v="15"/>
    <x v="1"/>
    <x v="8"/>
    <n v="10122"/>
    <n v="8139"/>
    <x v="292"/>
    <n v="5614"/>
    <n v="55"/>
    <n v="4508"/>
    <n v="45"/>
  </r>
  <r>
    <x v="317"/>
    <x v="0"/>
    <x v="17"/>
    <x v="5"/>
    <x v="7"/>
    <x v="0"/>
    <x v="3"/>
    <n v="10116"/>
    <n v="9352"/>
    <x v="214"/>
    <n v="270"/>
    <n v="3"/>
    <n v="9846"/>
    <n v="97"/>
  </r>
  <r>
    <x v="318"/>
    <x v="0"/>
    <x v="2"/>
    <x v="0"/>
    <x v="5"/>
    <x v="1"/>
    <x v="0"/>
    <n v="10108"/>
    <n v="8334"/>
    <x v="293"/>
    <n v="8006"/>
    <n v="79"/>
    <n v="2102"/>
    <n v="21"/>
  </r>
  <r>
    <x v="319"/>
    <x v="0"/>
    <x v="2"/>
    <x v="0"/>
    <x v="0"/>
    <x v="0"/>
    <x v="14"/>
    <n v="10096"/>
    <n v="6587"/>
    <x v="294"/>
    <n v="5051"/>
    <n v="50"/>
    <n v="5045"/>
    <n v="50"/>
  </r>
  <r>
    <x v="320"/>
    <x v="2"/>
    <x v="1"/>
    <x v="0"/>
    <x v="13"/>
    <x v="1"/>
    <x v="2"/>
    <n v="10048"/>
    <n v="3456"/>
    <x v="295"/>
    <n v="257"/>
    <n v="3"/>
    <n v="9791"/>
    <n v="97"/>
  </r>
  <r>
    <x v="321"/>
    <x v="0"/>
    <x v="0"/>
    <x v="0"/>
    <x v="5"/>
    <x v="0"/>
    <x v="9"/>
    <n v="9970"/>
    <n v="9814"/>
    <x v="162"/>
    <n v="9796"/>
    <n v="98"/>
    <n v="174"/>
    <n v="2"/>
  </r>
  <r>
    <x v="322"/>
    <x v="0"/>
    <x v="1"/>
    <x v="0"/>
    <x v="1"/>
    <x v="0"/>
    <x v="24"/>
    <n v="9950"/>
    <n v="9956"/>
    <x v="56"/>
    <n v="9912"/>
    <n v="100"/>
    <n v="38"/>
    <n v="0"/>
  </r>
  <r>
    <x v="323"/>
    <x v="0"/>
    <x v="1"/>
    <x v="1"/>
    <x v="2"/>
    <x v="0"/>
    <x v="14"/>
    <n v="9949"/>
    <n v="4105"/>
    <x v="296"/>
    <n v="472"/>
    <n v="5"/>
    <n v="9477"/>
    <n v="95"/>
  </r>
  <r>
    <x v="324"/>
    <x v="0"/>
    <x v="0"/>
    <x v="0"/>
    <x v="5"/>
    <x v="1"/>
    <x v="5"/>
    <n v="9933"/>
    <n v="9933"/>
    <x v="297"/>
    <n v="9865"/>
    <n v="99"/>
    <n v="69"/>
    <n v="1"/>
  </r>
  <r>
    <x v="325"/>
    <x v="0"/>
    <x v="1"/>
    <x v="1"/>
    <x v="9"/>
    <x v="0"/>
    <x v="51"/>
    <n v="9914"/>
    <n v="6239"/>
    <x v="298"/>
    <n v="5931"/>
    <n v="60"/>
    <n v="3983"/>
    <n v="40"/>
  </r>
  <r>
    <x v="326"/>
    <x v="2"/>
    <x v="10"/>
    <x v="1"/>
    <x v="5"/>
    <x v="1"/>
    <x v="52"/>
    <n v="9914"/>
    <n v="9921"/>
    <x v="297"/>
    <n v="7818"/>
    <n v="79"/>
    <n v="2097"/>
    <n v="21"/>
  </r>
  <r>
    <x v="327"/>
    <x v="0"/>
    <x v="2"/>
    <x v="0"/>
    <x v="5"/>
    <x v="1"/>
    <x v="35"/>
    <n v="9910"/>
    <n v="9913"/>
    <x v="56"/>
    <n v="9910"/>
    <n v="100"/>
    <n v="0"/>
    <n v="0"/>
  </r>
  <r>
    <x v="328"/>
    <x v="2"/>
    <x v="32"/>
    <x v="8"/>
    <x v="5"/>
    <x v="1"/>
    <x v="17"/>
    <n v="9899"/>
    <n v="9883"/>
    <x v="127"/>
    <n v="9352"/>
    <n v="94"/>
    <n v="548"/>
    <n v="6"/>
  </r>
  <r>
    <x v="329"/>
    <x v="0"/>
    <x v="1"/>
    <x v="0"/>
    <x v="11"/>
    <x v="1"/>
    <x v="8"/>
    <n v="9869"/>
    <n v="6437"/>
    <x v="299"/>
    <n v="4559"/>
    <n v="46"/>
    <n v="5311"/>
    <n v="54"/>
  </r>
  <r>
    <x v="330"/>
    <x v="0"/>
    <x v="1"/>
    <x v="1"/>
    <x v="9"/>
    <x v="0"/>
    <x v="43"/>
    <n v="9863"/>
    <n v="4890"/>
    <x v="300"/>
    <n v="1539"/>
    <n v="16"/>
    <n v="8324"/>
    <n v="84"/>
  </r>
  <r>
    <x v="331"/>
    <x v="1"/>
    <x v="2"/>
    <x v="0"/>
    <x v="1"/>
    <x v="0"/>
    <x v="14"/>
    <n v="9860"/>
    <n v="4832"/>
    <x v="301"/>
    <n v="2441"/>
    <n v="25"/>
    <n v="7418"/>
    <n v="75"/>
  </r>
  <r>
    <x v="332"/>
    <x v="0"/>
    <x v="10"/>
    <x v="1"/>
    <x v="9"/>
    <x v="0"/>
    <x v="44"/>
    <n v="9854"/>
    <n v="8668"/>
    <x v="302"/>
    <n v="2611"/>
    <n v="26"/>
    <n v="7243"/>
    <n v="74"/>
  </r>
  <r>
    <x v="333"/>
    <x v="1"/>
    <x v="1"/>
    <x v="0"/>
    <x v="1"/>
    <x v="0"/>
    <x v="27"/>
    <n v="9798"/>
    <n v="9280"/>
    <x v="303"/>
    <n v="8953"/>
    <n v="91"/>
    <n v="845"/>
    <n v="9"/>
  </r>
  <r>
    <x v="334"/>
    <x v="0"/>
    <x v="1"/>
    <x v="0"/>
    <x v="0"/>
    <x v="0"/>
    <x v="15"/>
    <n v="9734"/>
    <n v="4314"/>
    <x v="304"/>
    <n v="31"/>
    <n v="0"/>
    <n v="9703"/>
    <n v="100"/>
  </r>
  <r>
    <x v="335"/>
    <x v="0"/>
    <x v="1"/>
    <x v="0"/>
    <x v="3"/>
    <x v="0"/>
    <x v="2"/>
    <n v="9713"/>
    <n v="5587"/>
    <x v="305"/>
    <n v="2335"/>
    <n v="24"/>
    <n v="7378"/>
    <n v="76"/>
  </r>
  <r>
    <x v="336"/>
    <x v="0"/>
    <x v="1"/>
    <x v="0"/>
    <x v="17"/>
    <x v="1"/>
    <x v="9"/>
    <n v="9666"/>
    <n v="9208"/>
    <x v="306"/>
    <n v="9168"/>
    <n v="95"/>
    <n v="498"/>
    <n v="5"/>
  </r>
  <r>
    <x v="337"/>
    <x v="0"/>
    <x v="10"/>
    <x v="1"/>
    <x v="9"/>
    <x v="0"/>
    <x v="22"/>
    <n v="9609"/>
    <n v="5574"/>
    <x v="307"/>
    <n v="437"/>
    <n v="5"/>
    <n v="9172"/>
    <n v="95"/>
  </r>
  <r>
    <x v="338"/>
    <x v="0"/>
    <x v="1"/>
    <x v="0"/>
    <x v="3"/>
    <x v="0"/>
    <x v="14"/>
    <n v="9514"/>
    <n v="9454"/>
    <x v="308"/>
    <n v="1289"/>
    <n v="14"/>
    <n v="8224"/>
    <n v="86"/>
  </r>
  <r>
    <x v="339"/>
    <x v="0"/>
    <x v="11"/>
    <x v="0"/>
    <x v="3"/>
    <x v="1"/>
    <x v="14"/>
    <n v="9513"/>
    <n v="9329"/>
    <x v="309"/>
    <n v="8793"/>
    <n v="92"/>
    <n v="720"/>
    <n v="8"/>
  </r>
  <r>
    <x v="340"/>
    <x v="0"/>
    <x v="10"/>
    <x v="1"/>
    <x v="10"/>
    <x v="1"/>
    <x v="11"/>
    <n v="9503"/>
    <n v="2468"/>
    <x v="310"/>
    <n v="9278"/>
    <n v="98"/>
    <n v="225"/>
    <n v="2"/>
  </r>
  <r>
    <x v="341"/>
    <x v="0"/>
    <x v="1"/>
    <x v="1"/>
    <x v="14"/>
    <x v="0"/>
    <x v="8"/>
    <n v="9495"/>
    <n v="6484"/>
    <x v="311"/>
    <n v="4320"/>
    <n v="46"/>
    <n v="5175"/>
    <n v="54"/>
  </r>
  <r>
    <x v="342"/>
    <x v="0"/>
    <x v="2"/>
    <x v="0"/>
    <x v="6"/>
    <x v="1"/>
    <x v="8"/>
    <n v="9440"/>
    <n v="4498"/>
    <x v="312"/>
    <n v="5621"/>
    <n v="60"/>
    <n v="3818"/>
    <n v="40"/>
  </r>
  <r>
    <x v="343"/>
    <x v="0"/>
    <x v="32"/>
    <x v="8"/>
    <x v="0"/>
    <x v="0"/>
    <x v="4"/>
    <n v="9437"/>
    <n v="6110"/>
    <x v="313"/>
    <n v="2399"/>
    <n v="25"/>
    <n v="7038"/>
    <n v="75"/>
  </r>
  <r>
    <x v="344"/>
    <x v="1"/>
    <x v="2"/>
    <x v="0"/>
    <x v="5"/>
    <x v="1"/>
    <x v="2"/>
    <n v="9401"/>
    <n v="8692"/>
    <x v="314"/>
    <n v="8081"/>
    <n v="86"/>
    <n v="1320"/>
    <n v="14"/>
  </r>
  <r>
    <x v="345"/>
    <x v="0"/>
    <x v="1"/>
    <x v="0"/>
    <x v="0"/>
    <x v="0"/>
    <x v="16"/>
    <n v="9362"/>
    <n v="4260"/>
    <x v="315"/>
    <n v="1076"/>
    <n v="11"/>
    <n v="8287"/>
    <n v="89"/>
  </r>
  <r>
    <x v="346"/>
    <x v="0"/>
    <x v="23"/>
    <x v="1"/>
    <x v="9"/>
    <x v="0"/>
    <x v="42"/>
    <n v="9340"/>
    <n v="6692"/>
    <x v="316"/>
    <n v="5230"/>
    <n v="56"/>
    <n v="4110"/>
    <n v="44"/>
  </r>
  <r>
    <x v="347"/>
    <x v="0"/>
    <x v="1"/>
    <x v="0"/>
    <x v="0"/>
    <x v="0"/>
    <x v="17"/>
    <n v="9315"/>
    <n v="5410"/>
    <x v="317"/>
    <n v="1907"/>
    <n v="20"/>
    <n v="7408"/>
    <n v="80"/>
  </r>
  <r>
    <x v="348"/>
    <x v="0"/>
    <x v="1"/>
    <x v="0"/>
    <x v="3"/>
    <x v="0"/>
    <x v="26"/>
    <n v="9303"/>
    <n v="5809"/>
    <x v="318"/>
    <n v="5699"/>
    <n v="61"/>
    <n v="3604"/>
    <n v="39"/>
  </r>
  <r>
    <x v="349"/>
    <x v="0"/>
    <x v="1"/>
    <x v="0"/>
    <x v="5"/>
    <x v="0"/>
    <x v="53"/>
    <n v="9291"/>
    <n v="9255"/>
    <x v="319"/>
    <n v="9207"/>
    <n v="99"/>
    <n v="84"/>
    <n v="1"/>
  </r>
  <r>
    <x v="350"/>
    <x v="0"/>
    <x v="1"/>
    <x v="0"/>
    <x v="11"/>
    <x v="0"/>
    <x v="11"/>
    <n v="9214"/>
    <n v="9213"/>
    <x v="320"/>
    <n v="7646"/>
    <n v="83"/>
    <n v="1567"/>
    <n v="17"/>
  </r>
  <r>
    <x v="351"/>
    <x v="0"/>
    <x v="2"/>
    <x v="0"/>
    <x v="5"/>
    <x v="1"/>
    <x v="10"/>
    <n v="9212"/>
    <n v="7753"/>
    <x v="321"/>
    <n v="9165"/>
    <n v="99"/>
    <n v="47"/>
    <n v="1"/>
  </r>
  <r>
    <x v="352"/>
    <x v="0"/>
    <x v="2"/>
    <x v="0"/>
    <x v="7"/>
    <x v="0"/>
    <x v="7"/>
    <n v="9207"/>
    <n v="7645"/>
    <x v="322"/>
    <n v="36"/>
    <n v="0"/>
    <n v="9170"/>
    <n v="100"/>
  </r>
  <r>
    <x v="353"/>
    <x v="0"/>
    <x v="1"/>
    <x v="0"/>
    <x v="1"/>
    <x v="0"/>
    <x v="27"/>
    <n v="9178"/>
    <n v="7949"/>
    <x v="323"/>
    <n v="7238"/>
    <n v="79"/>
    <n v="1939"/>
    <n v="21"/>
  </r>
  <r>
    <x v="354"/>
    <x v="0"/>
    <x v="4"/>
    <x v="1"/>
    <x v="9"/>
    <x v="0"/>
    <x v="51"/>
    <n v="9122"/>
    <n v="4955"/>
    <x v="324"/>
    <n v="4040"/>
    <n v="44"/>
    <n v="5082"/>
    <n v="56"/>
  </r>
  <r>
    <x v="355"/>
    <x v="1"/>
    <x v="1"/>
    <x v="0"/>
    <x v="1"/>
    <x v="0"/>
    <x v="10"/>
    <n v="9116"/>
    <n v="7543"/>
    <x v="325"/>
    <n v="2706"/>
    <n v="30"/>
    <n v="6410"/>
    <n v="70"/>
  </r>
  <r>
    <x v="356"/>
    <x v="0"/>
    <x v="10"/>
    <x v="1"/>
    <x v="0"/>
    <x v="1"/>
    <x v="18"/>
    <n v="9108"/>
    <n v="8631"/>
    <x v="326"/>
    <n v="5817"/>
    <n v="64"/>
    <n v="3290"/>
    <n v="36"/>
  </r>
  <r>
    <x v="357"/>
    <x v="0"/>
    <x v="1"/>
    <x v="0"/>
    <x v="0"/>
    <x v="0"/>
    <x v="25"/>
    <n v="9085"/>
    <n v="4561"/>
    <x v="327"/>
    <n v="1805"/>
    <n v="20"/>
    <n v="7280"/>
    <n v="80"/>
  </r>
  <r>
    <x v="358"/>
    <x v="0"/>
    <x v="10"/>
    <x v="1"/>
    <x v="10"/>
    <x v="0"/>
    <x v="7"/>
    <n v="9076"/>
    <n v="3472"/>
    <x v="328"/>
    <n v="752"/>
    <n v="8"/>
    <n v="8324"/>
    <n v="92"/>
  </r>
  <r>
    <x v="359"/>
    <x v="0"/>
    <x v="33"/>
    <x v="1"/>
    <x v="9"/>
    <x v="0"/>
    <x v="16"/>
    <n v="9056"/>
    <n v="5112"/>
    <x v="329"/>
    <n v="562"/>
    <n v="6"/>
    <n v="8495"/>
    <n v="94"/>
  </r>
  <r>
    <x v="360"/>
    <x v="1"/>
    <x v="8"/>
    <x v="3"/>
    <x v="8"/>
    <x v="0"/>
    <x v="54"/>
    <n v="8988"/>
    <n v="2897"/>
    <x v="330"/>
    <n v="551"/>
    <n v="6"/>
    <n v="8437"/>
    <n v="94"/>
  </r>
  <r>
    <x v="361"/>
    <x v="0"/>
    <x v="4"/>
    <x v="1"/>
    <x v="2"/>
    <x v="0"/>
    <x v="26"/>
    <n v="8965"/>
    <n v="6388"/>
    <x v="331"/>
    <n v="1238"/>
    <n v="14"/>
    <n v="7727"/>
    <n v="86"/>
  </r>
  <r>
    <x v="362"/>
    <x v="1"/>
    <x v="33"/>
    <x v="1"/>
    <x v="2"/>
    <x v="0"/>
    <x v="8"/>
    <n v="8960"/>
    <n v="3564"/>
    <x v="332"/>
    <n v="688"/>
    <n v="8"/>
    <n v="8272"/>
    <n v="92"/>
  </r>
  <r>
    <x v="363"/>
    <x v="0"/>
    <x v="1"/>
    <x v="0"/>
    <x v="5"/>
    <x v="0"/>
    <x v="23"/>
    <n v="8928"/>
    <n v="8741"/>
    <x v="333"/>
    <n v="8713"/>
    <n v="98"/>
    <n v="214"/>
    <n v="2"/>
  </r>
  <r>
    <x v="364"/>
    <x v="0"/>
    <x v="10"/>
    <x v="1"/>
    <x v="10"/>
    <x v="0"/>
    <x v="4"/>
    <n v="8916"/>
    <n v="8080"/>
    <x v="334"/>
    <n v="7976"/>
    <n v="89"/>
    <n v="940"/>
    <n v="11"/>
  </r>
  <r>
    <x v="365"/>
    <x v="0"/>
    <x v="1"/>
    <x v="0"/>
    <x v="1"/>
    <x v="1"/>
    <x v="0"/>
    <n v="8910"/>
    <n v="6844"/>
    <x v="335"/>
    <n v="6518"/>
    <n v="73"/>
    <n v="2392"/>
    <n v="27"/>
  </r>
  <r>
    <x v="366"/>
    <x v="0"/>
    <x v="12"/>
    <x v="4"/>
    <x v="13"/>
    <x v="0"/>
    <x v="55"/>
    <n v="8907"/>
    <n v="8156"/>
    <x v="336"/>
    <n v="5042"/>
    <n v="57"/>
    <n v="3865"/>
    <n v="43"/>
  </r>
  <r>
    <x v="367"/>
    <x v="1"/>
    <x v="1"/>
    <x v="0"/>
    <x v="1"/>
    <x v="0"/>
    <x v="8"/>
    <n v="8900"/>
    <n v="4219"/>
    <x v="337"/>
    <n v="2876"/>
    <n v="32"/>
    <n v="6023"/>
    <n v="68"/>
  </r>
  <r>
    <x v="368"/>
    <x v="0"/>
    <x v="1"/>
    <x v="0"/>
    <x v="18"/>
    <x v="1"/>
    <x v="29"/>
    <n v="8848"/>
    <n v="8855"/>
    <x v="56"/>
    <n v="8823"/>
    <n v="100"/>
    <n v="25"/>
    <n v="0"/>
  </r>
  <r>
    <x v="369"/>
    <x v="1"/>
    <x v="1"/>
    <x v="0"/>
    <x v="1"/>
    <x v="0"/>
    <x v="9"/>
    <n v="8831"/>
    <n v="6995"/>
    <x v="338"/>
    <n v="6603"/>
    <n v="75"/>
    <n v="2228"/>
    <n v="25"/>
  </r>
  <r>
    <x v="370"/>
    <x v="1"/>
    <x v="1"/>
    <x v="0"/>
    <x v="3"/>
    <x v="0"/>
    <x v="46"/>
    <n v="8829"/>
    <n v="7564"/>
    <x v="339"/>
    <n v="6763"/>
    <n v="77"/>
    <n v="2066"/>
    <n v="23"/>
  </r>
  <r>
    <x v="371"/>
    <x v="1"/>
    <x v="14"/>
    <x v="0"/>
    <x v="1"/>
    <x v="0"/>
    <x v="0"/>
    <n v="8809"/>
    <n v="5689"/>
    <x v="340"/>
    <n v="4223"/>
    <n v="48"/>
    <n v="4586"/>
    <n v="52"/>
  </r>
  <r>
    <x v="372"/>
    <x v="0"/>
    <x v="1"/>
    <x v="1"/>
    <x v="2"/>
    <x v="0"/>
    <x v="8"/>
    <n v="8802"/>
    <n v="1221"/>
    <x v="341"/>
    <n v="0"/>
    <n v="0"/>
    <n v="8802"/>
    <n v="100"/>
  </r>
  <r>
    <x v="373"/>
    <x v="1"/>
    <x v="2"/>
    <x v="0"/>
    <x v="20"/>
    <x v="0"/>
    <x v="20"/>
    <n v="8780"/>
    <n v="8238"/>
    <x v="342"/>
    <n v="7558"/>
    <n v="86"/>
    <n v="1222"/>
    <n v="14"/>
  </r>
  <r>
    <x v="374"/>
    <x v="0"/>
    <x v="1"/>
    <x v="0"/>
    <x v="1"/>
    <x v="1"/>
    <x v="8"/>
    <n v="8780"/>
    <n v="7851"/>
    <x v="343"/>
    <n v="8155"/>
    <n v="93"/>
    <n v="625"/>
    <n v="7"/>
  </r>
  <r>
    <x v="375"/>
    <x v="0"/>
    <x v="8"/>
    <x v="3"/>
    <x v="8"/>
    <x v="0"/>
    <x v="7"/>
    <n v="8733"/>
    <n v="2988"/>
    <x v="344"/>
    <n v="7"/>
    <n v="0"/>
    <n v="8726"/>
    <n v="100"/>
  </r>
  <r>
    <x v="376"/>
    <x v="0"/>
    <x v="2"/>
    <x v="0"/>
    <x v="0"/>
    <x v="0"/>
    <x v="7"/>
    <n v="8715"/>
    <n v="7649"/>
    <x v="345"/>
    <n v="2527"/>
    <n v="29"/>
    <n v="6188"/>
    <n v="71"/>
  </r>
  <r>
    <x v="377"/>
    <x v="1"/>
    <x v="0"/>
    <x v="0"/>
    <x v="1"/>
    <x v="0"/>
    <x v="18"/>
    <n v="8706"/>
    <n v="8477"/>
    <x v="346"/>
    <n v="8084"/>
    <n v="93"/>
    <n v="623"/>
    <n v="7"/>
  </r>
  <r>
    <x v="378"/>
    <x v="0"/>
    <x v="34"/>
    <x v="0"/>
    <x v="7"/>
    <x v="0"/>
    <x v="14"/>
    <n v="8699"/>
    <n v="8316"/>
    <x v="347"/>
    <n v="1924"/>
    <n v="22"/>
    <n v="6776"/>
    <n v="78"/>
  </r>
  <r>
    <x v="379"/>
    <x v="0"/>
    <x v="1"/>
    <x v="0"/>
    <x v="5"/>
    <x v="1"/>
    <x v="20"/>
    <n v="8648"/>
    <n v="8598"/>
    <x v="348"/>
    <n v="8555"/>
    <n v="99"/>
    <n v="93"/>
    <n v="1"/>
  </r>
  <r>
    <x v="380"/>
    <x v="0"/>
    <x v="10"/>
    <x v="1"/>
    <x v="10"/>
    <x v="0"/>
    <x v="39"/>
    <n v="8622"/>
    <n v="8534"/>
    <x v="349"/>
    <n v="7271"/>
    <n v="84"/>
    <n v="1351"/>
    <n v="16"/>
  </r>
  <r>
    <x v="381"/>
    <x v="0"/>
    <x v="10"/>
    <x v="1"/>
    <x v="9"/>
    <x v="0"/>
    <x v="41"/>
    <n v="8617"/>
    <n v="7718"/>
    <x v="350"/>
    <n v="6368"/>
    <n v="74"/>
    <n v="2249"/>
    <n v="26"/>
  </r>
  <r>
    <x v="382"/>
    <x v="0"/>
    <x v="2"/>
    <x v="0"/>
    <x v="6"/>
    <x v="1"/>
    <x v="9"/>
    <n v="8591"/>
    <n v="8579"/>
    <x v="351"/>
    <n v="7996"/>
    <n v="93"/>
    <n v="595"/>
    <n v="7"/>
  </r>
  <r>
    <x v="383"/>
    <x v="0"/>
    <x v="8"/>
    <x v="3"/>
    <x v="8"/>
    <x v="1"/>
    <x v="2"/>
    <n v="8584"/>
    <n v="6741"/>
    <x v="352"/>
    <n v="20"/>
    <n v="0"/>
    <n v="8564"/>
    <n v="100"/>
  </r>
  <r>
    <x v="384"/>
    <x v="0"/>
    <x v="1"/>
    <x v="0"/>
    <x v="0"/>
    <x v="0"/>
    <x v="14"/>
    <n v="8564"/>
    <n v="5566"/>
    <x v="353"/>
    <n v="3239"/>
    <n v="38"/>
    <n v="5326"/>
    <n v="62"/>
  </r>
  <r>
    <x v="385"/>
    <x v="0"/>
    <x v="0"/>
    <x v="0"/>
    <x v="0"/>
    <x v="0"/>
    <x v="17"/>
    <n v="8564"/>
    <n v="5620"/>
    <x v="354"/>
    <n v="1853"/>
    <n v="22"/>
    <n v="6712"/>
    <n v="78"/>
  </r>
  <r>
    <x v="386"/>
    <x v="0"/>
    <x v="1"/>
    <x v="0"/>
    <x v="5"/>
    <x v="0"/>
    <x v="25"/>
    <n v="8551"/>
    <n v="8199"/>
    <x v="355"/>
    <n v="7908"/>
    <n v="92"/>
    <n v="644"/>
    <n v="8"/>
  </r>
  <r>
    <x v="387"/>
    <x v="2"/>
    <x v="5"/>
    <x v="2"/>
    <x v="4"/>
    <x v="1"/>
    <x v="7"/>
    <n v="8531"/>
    <n v="8466"/>
    <x v="356"/>
    <n v="8285"/>
    <n v="97"/>
    <n v="246"/>
    <n v="3"/>
  </r>
  <r>
    <x v="388"/>
    <x v="0"/>
    <x v="21"/>
    <x v="0"/>
    <x v="5"/>
    <x v="1"/>
    <x v="16"/>
    <n v="8510"/>
    <n v="8484"/>
    <x v="357"/>
    <n v="6435"/>
    <n v="76"/>
    <n v="2074"/>
    <n v="24"/>
  </r>
  <r>
    <x v="389"/>
    <x v="1"/>
    <x v="22"/>
    <x v="1"/>
    <x v="1"/>
    <x v="0"/>
    <x v="19"/>
    <n v="8508"/>
    <n v="5812"/>
    <x v="358"/>
    <n v="1930"/>
    <n v="23"/>
    <n v="6578"/>
    <n v="77"/>
  </r>
  <r>
    <x v="390"/>
    <x v="2"/>
    <x v="1"/>
    <x v="0"/>
    <x v="1"/>
    <x v="1"/>
    <x v="5"/>
    <n v="8486"/>
    <n v="8144"/>
    <x v="359"/>
    <n v="8126"/>
    <n v="96"/>
    <n v="360"/>
    <n v="4"/>
  </r>
  <r>
    <x v="391"/>
    <x v="0"/>
    <x v="5"/>
    <x v="2"/>
    <x v="4"/>
    <x v="0"/>
    <x v="1"/>
    <n v="8473"/>
    <n v="7819"/>
    <x v="360"/>
    <n v="6968"/>
    <n v="82"/>
    <n v="1505"/>
    <n v="18"/>
  </r>
  <r>
    <x v="392"/>
    <x v="0"/>
    <x v="1"/>
    <x v="1"/>
    <x v="2"/>
    <x v="1"/>
    <x v="3"/>
    <n v="8457"/>
    <n v="370"/>
    <x v="361"/>
    <n v="1"/>
    <n v="0"/>
    <n v="8456"/>
    <n v="100"/>
  </r>
  <r>
    <x v="393"/>
    <x v="0"/>
    <x v="1"/>
    <x v="0"/>
    <x v="0"/>
    <x v="0"/>
    <x v="26"/>
    <n v="8454"/>
    <n v="6568"/>
    <x v="362"/>
    <n v="4039"/>
    <n v="48"/>
    <n v="4414"/>
    <n v="52"/>
  </r>
  <r>
    <x v="394"/>
    <x v="0"/>
    <x v="35"/>
    <x v="7"/>
    <x v="0"/>
    <x v="0"/>
    <x v="1"/>
    <n v="8440"/>
    <n v="6943"/>
    <x v="363"/>
    <n v="3539"/>
    <n v="42"/>
    <n v="4901"/>
    <n v="58"/>
  </r>
  <r>
    <x v="395"/>
    <x v="0"/>
    <x v="10"/>
    <x v="1"/>
    <x v="10"/>
    <x v="1"/>
    <x v="8"/>
    <n v="8434"/>
    <n v="7838"/>
    <x v="364"/>
    <n v="7244"/>
    <n v="86"/>
    <n v="1190"/>
    <n v="14"/>
  </r>
  <r>
    <x v="396"/>
    <x v="1"/>
    <x v="1"/>
    <x v="0"/>
    <x v="1"/>
    <x v="0"/>
    <x v="17"/>
    <n v="8383"/>
    <n v="8388"/>
    <x v="56"/>
    <n v="8380"/>
    <n v="100"/>
    <n v="3"/>
    <n v="0"/>
  </r>
  <r>
    <x v="397"/>
    <x v="0"/>
    <x v="1"/>
    <x v="0"/>
    <x v="20"/>
    <x v="0"/>
    <x v="28"/>
    <n v="8372"/>
    <n v="7724"/>
    <x v="365"/>
    <n v="7486"/>
    <n v="89"/>
    <n v="886"/>
    <n v="11"/>
  </r>
  <r>
    <x v="398"/>
    <x v="0"/>
    <x v="1"/>
    <x v="0"/>
    <x v="0"/>
    <x v="0"/>
    <x v="13"/>
    <n v="8371"/>
    <n v="1884"/>
    <x v="366"/>
    <n v="176"/>
    <n v="2"/>
    <n v="8195"/>
    <n v="98"/>
  </r>
  <r>
    <x v="399"/>
    <x v="0"/>
    <x v="2"/>
    <x v="0"/>
    <x v="1"/>
    <x v="0"/>
    <x v="20"/>
    <n v="8366"/>
    <n v="6159"/>
    <x v="367"/>
    <n v="10"/>
    <n v="0"/>
    <n v="8356"/>
    <n v="100"/>
  </r>
  <r>
    <x v="400"/>
    <x v="1"/>
    <x v="1"/>
    <x v="0"/>
    <x v="1"/>
    <x v="0"/>
    <x v="18"/>
    <n v="8339"/>
    <n v="7864"/>
    <x v="368"/>
    <n v="7297"/>
    <n v="88"/>
    <n v="1042"/>
    <n v="12"/>
  </r>
  <r>
    <x v="401"/>
    <x v="0"/>
    <x v="1"/>
    <x v="0"/>
    <x v="5"/>
    <x v="1"/>
    <x v="42"/>
    <n v="8330"/>
    <n v="8329"/>
    <x v="297"/>
    <n v="8188"/>
    <n v="98"/>
    <n v="142"/>
    <n v="2"/>
  </r>
  <r>
    <x v="402"/>
    <x v="0"/>
    <x v="12"/>
    <x v="4"/>
    <x v="0"/>
    <x v="0"/>
    <x v="0"/>
    <n v="8327"/>
    <n v="4696"/>
    <x v="369"/>
    <n v="1126"/>
    <n v="14"/>
    <n v="7201"/>
    <n v="86"/>
  </r>
  <r>
    <x v="403"/>
    <x v="1"/>
    <x v="12"/>
    <x v="4"/>
    <x v="21"/>
    <x v="0"/>
    <x v="54"/>
    <n v="8316"/>
    <n v="8318"/>
    <x v="56"/>
    <n v="8289"/>
    <n v="100"/>
    <n v="28"/>
    <n v="0"/>
  </r>
  <r>
    <x v="404"/>
    <x v="0"/>
    <x v="22"/>
    <x v="1"/>
    <x v="0"/>
    <x v="0"/>
    <x v="24"/>
    <n v="8309"/>
    <n v="5592"/>
    <x v="370"/>
    <n v="3546"/>
    <n v="43"/>
    <n v="4763"/>
    <n v="57"/>
  </r>
  <r>
    <x v="405"/>
    <x v="0"/>
    <x v="1"/>
    <x v="1"/>
    <x v="2"/>
    <x v="0"/>
    <x v="27"/>
    <n v="8282"/>
    <n v="6707"/>
    <x v="371"/>
    <n v="1000"/>
    <n v="12"/>
    <n v="7283"/>
    <n v="88"/>
  </r>
  <r>
    <x v="406"/>
    <x v="0"/>
    <x v="12"/>
    <x v="0"/>
    <x v="7"/>
    <x v="0"/>
    <x v="1"/>
    <n v="8279"/>
    <n v="4899"/>
    <x v="372"/>
    <n v="54"/>
    <n v="1"/>
    <n v="8225"/>
    <n v="99"/>
  </r>
  <r>
    <x v="407"/>
    <x v="0"/>
    <x v="21"/>
    <x v="0"/>
    <x v="1"/>
    <x v="0"/>
    <x v="8"/>
    <n v="8263"/>
    <n v="3585"/>
    <x v="373"/>
    <n v="6241"/>
    <n v="76"/>
    <n v="2022"/>
    <n v="24"/>
  </r>
  <r>
    <x v="408"/>
    <x v="0"/>
    <x v="1"/>
    <x v="0"/>
    <x v="0"/>
    <x v="0"/>
    <x v="17"/>
    <n v="8240"/>
    <n v="6845"/>
    <x v="374"/>
    <n v="2321"/>
    <n v="28"/>
    <n v="5920"/>
    <n v="72"/>
  </r>
  <r>
    <x v="409"/>
    <x v="0"/>
    <x v="1"/>
    <x v="0"/>
    <x v="0"/>
    <x v="0"/>
    <x v="41"/>
    <n v="8236"/>
    <n v="1237"/>
    <x v="375"/>
    <n v="228"/>
    <n v="3"/>
    <n v="8008"/>
    <n v="97"/>
  </r>
  <r>
    <x v="410"/>
    <x v="0"/>
    <x v="1"/>
    <x v="1"/>
    <x v="2"/>
    <x v="0"/>
    <x v="14"/>
    <n v="8216"/>
    <n v="761"/>
    <x v="376"/>
    <n v="197"/>
    <n v="2"/>
    <n v="8020"/>
    <n v="98"/>
  </r>
  <r>
    <x v="411"/>
    <x v="0"/>
    <x v="10"/>
    <x v="1"/>
    <x v="10"/>
    <x v="0"/>
    <x v="56"/>
    <n v="8205"/>
    <n v="8009"/>
    <x v="377"/>
    <n v="7878"/>
    <n v="96"/>
    <n v="327"/>
    <n v="4"/>
  </r>
  <r>
    <x v="412"/>
    <x v="0"/>
    <x v="0"/>
    <x v="0"/>
    <x v="5"/>
    <x v="1"/>
    <x v="20"/>
    <n v="8203"/>
    <n v="7983"/>
    <x v="378"/>
    <n v="7948"/>
    <n v="97"/>
    <n v="255"/>
    <n v="3"/>
  </r>
  <r>
    <x v="413"/>
    <x v="2"/>
    <x v="1"/>
    <x v="0"/>
    <x v="5"/>
    <x v="1"/>
    <x v="23"/>
    <n v="8200"/>
    <n v="7224"/>
    <x v="379"/>
    <n v="7171"/>
    <n v="87"/>
    <n v="1029"/>
    <n v="13"/>
  </r>
  <r>
    <x v="414"/>
    <x v="0"/>
    <x v="2"/>
    <x v="0"/>
    <x v="1"/>
    <x v="1"/>
    <x v="57"/>
    <n v="8197"/>
    <n v="8080"/>
    <x v="380"/>
    <n v="7893"/>
    <n v="96"/>
    <n v="305"/>
    <n v="4"/>
  </r>
  <r>
    <x v="415"/>
    <x v="0"/>
    <x v="36"/>
    <x v="3"/>
    <x v="8"/>
    <x v="0"/>
    <x v="54"/>
    <n v="8187"/>
    <n v="3408"/>
    <x v="381"/>
    <n v="516"/>
    <n v="6"/>
    <n v="7671"/>
    <n v="94"/>
  </r>
  <r>
    <x v="416"/>
    <x v="0"/>
    <x v="4"/>
    <x v="1"/>
    <x v="9"/>
    <x v="1"/>
    <x v="9"/>
    <n v="8165"/>
    <n v="7392"/>
    <x v="382"/>
    <n v="1621"/>
    <n v="20"/>
    <n v="6544"/>
    <n v="80"/>
  </r>
  <r>
    <x v="417"/>
    <x v="0"/>
    <x v="1"/>
    <x v="0"/>
    <x v="0"/>
    <x v="0"/>
    <x v="7"/>
    <n v="8148"/>
    <n v="7808"/>
    <x v="383"/>
    <n v="6617"/>
    <n v="81"/>
    <n v="1531"/>
    <n v="19"/>
  </r>
  <r>
    <x v="418"/>
    <x v="0"/>
    <x v="11"/>
    <x v="0"/>
    <x v="17"/>
    <x v="0"/>
    <x v="1"/>
    <n v="8092"/>
    <n v="7919"/>
    <x v="384"/>
    <n v="7804"/>
    <n v="96"/>
    <n v="288"/>
    <n v="4"/>
  </r>
  <r>
    <x v="419"/>
    <x v="0"/>
    <x v="1"/>
    <x v="0"/>
    <x v="17"/>
    <x v="0"/>
    <x v="11"/>
    <n v="8065"/>
    <n v="7162"/>
    <x v="385"/>
    <n v="4817"/>
    <n v="60"/>
    <n v="3248"/>
    <n v="40"/>
  </r>
  <r>
    <x v="420"/>
    <x v="0"/>
    <x v="1"/>
    <x v="1"/>
    <x v="10"/>
    <x v="1"/>
    <x v="22"/>
    <n v="8063"/>
    <n v="5540"/>
    <x v="386"/>
    <n v="3610"/>
    <n v="45"/>
    <n v="4453"/>
    <n v="55"/>
  </r>
  <r>
    <x v="421"/>
    <x v="1"/>
    <x v="5"/>
    <x v="2"/>
    <x v="4"/>
    <x v="0"/>
    <x v="19"/>
    <n v="8057"/>
    <n v="4416"/>
    <x v="387"/>
    <n v="3447"/>
    <n v="43"/>
    <n v="4610"/>
    <n v="57"/>
  </r>
  <r>
    <x v="422"/>
    <x v="0"/>
    <x v="1"/>
    <x v="0"/>
    <x v="0"/>
    <x v="0"/>
    <x v="4"/>
    <n v="8044"/>
    <n v="7679"/>
    <x v="388"/>
    <n v="6528"/>
    <n v="81"/>
    <n v="1516"/>
    <n v="19"/>
  </r>
  <r>
    <x v="423"/>
    <x v="0"/>
    <x v="1"/>
    <x v="0"/>
    <x v="0"/>
    <x v="1"/>
    <x v="1"/>
    <n v="8030"/>
    <n v="7270"/>
    <x v="389"/>
    <n v="4098"/>
    <n v="51"/>
    <n v="3932"/>
    <n v="49"/>
  </r>
  <r>
    <x v="424"/>
    <x v="1"/>
    <x v="2"/>
    <x v="0"/>
    <x v="1"/>
    <x v="0"/>
    <x v="14"/>
    <n v="8020"/>
    <n v="3097"/>
    <x v="390"/>
    <n v="2755"/>
    <n v="34"/>
    <n v="5265"/>
    <n v="66"/>
  </r>
  <r>
    <x v="425"/>
    <x v="0"/>
    <x v="2"/>
    <x v="0"/>
    <x v="5"/>
    <x v="1"/>
    <x v="36"/>
    <n v="8015"/>
    <n v="8019"/>
    <x v="56"/>
    <n v="8015"/>
    <n v="100"/>
    <n v="0"/>
    <n v="0"/>
  </r>
  <r>
    <x v="426"/>
    <x v="0"/>
    <x v="1"/>
    <x v="0"/>
    <x v="5"/>
    <x v="1"/>
    <x v="47"/>
    <n v="7987"/>
    <n v="7991"/>
    <x v="56"/>
    <n v="7987"/>
    <n v="100"/>
    <n v="0"/>
    <n v="0"/>
  </r>
  <r>
    <x v="427"/>
    <x v="0"/>
    <x v="2"/>
    <x v="0"/>
    <x v="5"/>
    <x v="1"/>
    <x v="55"/>
    <n v="7977"/>
    <n v="7980"/>
    <x v="265"/>
    <n v="7960"/>
    <n v="100"/>
    <n v="16"/>
    <n v="0"/>
  </r>
  <r>
    <x v="428"/>
    <x v="0"/>
    <x v="2"/>
    <x v="0"/>
    <x v="1"/>
    <x v="0"/>
    <x v="58"/>
    <n v="7940"/>
    <n v="7943"/>
    <x v="56"/>
    <n v="7117"/>
    <n v="90"/>
    <n v="824"/>
    <n v="10"/>
  </r>
  <r>
    <x v="429"/>
    <x v="0"/>
    <x v="1"/>
    <x v="0"/>
    <x v="5"/>
    <x v="1"/>
    <x v="25"/>
    <n v="7935"/>
    <n v="4642"/>
    <x v="391"/>
    <n v="7902"/>
    <n v="100"/>
    <n v="33"/>
    <n v="0"/>
  </r>
  <r>
    <x v="430"/>
    <x v="0"/>
    <x v="37"/>
    <x v="9"/>
    <x v="1"/>
    <x v="0"/>
    <x v="18"/>
    <n v="7934"/>
    <n v="2023"/>
    <x v="392"/>
    <n v="723"/>
    <n v="9"/>
    <n v="7212"/>
    <n v="91"/>
  </r>
  <r>
    <x v="431"/>
    <x v="0"/>
    <x v="4"/>
    <x v="1"/>
    <x v="2"/>
    <x v="0"/>
    <x v="19"/>
    <n v="7922"/>
    <n v="7400"/>
    <x v="393"/>
    <n v="8"/>
    <n v="0"/>
    <n v="7914"/>
    <n v="100"/>
  </r>
  <r>
    <x v="432"/>
    <x v="1"/>
    <x v="2"/>
    <x v="0"/>
    <x v="20"/>
    <x v="0"/>
    <x v="26"/>
    <n v="7893"/>
    <n v="7896"/>
    <x v="56"/>
    <n v="7164"/>
    <n v="91"/>
    <n v="728"/>
    <n v="9"/>
  </r>
  <r>
    <x v="433"/>
    <x v="0"/>
    <x v="2"/>
    <x v="0"/>
    <x v="5"/>
    <x v="1"/>
    <x v="59"/>
    <n v="7891"/>
    <n v="7596"/>
    <x v="394"/>
    <n v="7891"/>
    <n v="100"/>
    <n v="0"/>
    <n v="0"/>
  </r>
  <r>
    <x v="434"/>
    <x v="1"/>
    <x v="5"/>
    <x v="2"/>
    <x v="4"/>
    <x v="1"/>
    <x v="45"/>
    <n v="7887"/>
    <n v="7881"/>
    <x v="395"/>
    <n v="7566"/>
    <n v="96"/>
    <n v="321"/>
    <n v="4"/>
  </r>
  <r>
    <x v="435"/>
    <x v="0"/>
    <x v="1"/>
    <x v="0"/>
    <x v="18"/>
    <x v="1"/>
    <x v="25"/>
    <n v="7872"/>
    <n v="7152"/>
    <x v="396"/>
    <n v="7858"/>
    <n v="100"/>
    <n v="14"/>
    <n v="0"/>
  </r>
  <r>
    <x v="436"/>
    <x v="0"/>
    <x v="38"/>
    <x v="1"/>
    <x v="9"/>
    <x v="0"/>
    <x v="46"/>
    <n v="7852"/>
    <n v="7854"/>
    <x v="275"/>
    <n v="7062"/>
    <n v="90"/>
    <n v="790"/>
    <n v="10"/>
  </r>
  <r>
    <x v="437"/>
    <x v="2"/>
    <x v="10"/>
    <x v="1"/>
    <x v="9"/>
    <x v="1"/>
    <x v="38"/>
    <n v="7839"/>
    <n v="7528"/>
    <x v="397"/>
    <n v="2830"/>
    <n v="36"/>
    <n v="5009"/>
    <n v="64"/>
  </r>
  <r>
    <x v="438"/>
    <x v="0"/>
    <x v="2"/>
    <x v="0"/>
    <x v="1"/>
    <x v="0"/>
    <x v="7"/>
    <n v="7824"/>
    <n v="6896"/>
    <x v="398"/>
    <n v="6188"/>
    <n v="79"/>
    <n v="1636"/>
    <n v="21"/>
  </r>
  <r>
    <x v="439"/>
    <x v="0"/>
    <x v="1"/>
    <x v="0"/>
    <x v="0"/>
    <x v="0"/>
    <x v="16"/>
    <n v="7817"/>
    <n v="4590"/>
    <x v="399"/>
    <n v="1655"/>
    <n v="21"/>
    <n v="6162"/>
    <n v="79"/>
  </r>
  <r>
    <x v="440"/>
    <x v="0"/>
    <x v="1"/>
    <x v="0"/>
    <x v="3"/>
    <x v="0"/>
    <x v="19"/>
    <n v="7810"/>
    <n v="3575"/>
    <x v="400"/>
    <n v="2342"/>
    <n v="30"/>
    <n v="5468"/>
    <n v="70"/>
  </r>
  <r>
    <x v="441"/>
    <x v="0"/>
    <x v="2"/>
    <x v="0"/>
    <x v="7"/>
    <x v="1"/>
    <x v="8"/>
    <n v="7788"/>
    <n v="5989"/>
    <x v="401"/>
    <n v="801"/>
    <n v="10"/>
    <n v="6987"/>
    <n v="90"/>
  </r>
  <r>
    <x v="442"/>
    <x v="0"/>
    <x v="1"/>
    <x v="1"/>
    <x v="2"/>
    <x v="0"/>
    <x v="14"/>
    <n v="7785"/>
    <n v="2720"/>
    <x v="402"/>
    <n v="69"/>
    <n v="1"/>
    <n v="7716"/>
    <n v="99"/>
  </r>
  <r>
    <x v="443"/>
    <x v="0"/>
    <x v="14"/>
    <x v="0"/>
    <x v="7"/>
    <x v="0"/>
    <x v="8"/>
    <n v="7766"/>
    <n v="4434"/>
    <x v="313"/>
    <n v="781"/>
    <n v="10"/>
    <n v="6985"/>
    <n v="90"/>
  </r>
  <r>
    <x v="444"/>
    <x v="0"/>
    <x v="39"/>
    <x v="4"/>
    <x v="0"/>
    <x v="0"/>
    <x v="0"/>
    <n v="7738"/>
    <n v="3471"/>
    <x v="403"/>
    <n v="1580"/>
    <n v="20"/>
    <n v="6158"/>
    <n v="80"/>
  </r>
  <r>
    <x v="445"/>
    <x v="0"/>
    <x v="1"/>
    <x v="0"/>
    <x v="0"/>
    <x v="0"/>
    <x v="21"/>
    <n v="7730"/>
    <n v="6446"/>
    <x v="404"/>
    <n v="2355"/>
    <n v="30"/>
    <n v="5374"/>
    <n v="70"/>
  </r>
  <r>
    <x v="446"/>
    <x v="0"/>
    <x v="2"/>
    <x v="0"/>
    <x v="5"/>
    <x v="1"/>
    <x v="2"/>
    <n v="7714"/>
    <n v="7714"/>
    <x v="56"/>
    <n v="7201"/>
    <n v="93"/>
    <n v="513"/>
    <n v="7"/>
  </r>
  <r>
    <x v="447"/>
    <x v="0"/>
    <x v="8"/>
    <x v="3"/>
    <x v="1"/>
    <x v="0"/>
    <x v="10"/>
    <n v="7690"/>
    <n v="107"/>
    <x v="405"/>
    <n v="0"/>
    <n v="0"/>
    <n v="7690"/>
    <n v="100"/>
  </r>
  <r>
    <x v="448"/>
    <x v="0"/>
    <x v="1"/>
    <x v="0"/>
    <x v="5"/>
    <x v="1"/>
    <x v="13"/>
    <n v="7673"/>
    <n v="7673"/>
    <x v="56"/>
    <n v="7659"/>
    <n v="100"/>
    <n v="14"/>
    <n v="0"/>
  </r>
  <r>
    <x v="449"/>
    <x v="0"/>
    <x v="1"/>
    <x v="1"/>
    <x v="2"/>
    <x v="0"/>
    <x v="3"/>
    <n v="7662"/>
    <n v="1714"/>
    <x v="406"/>
    <n v="561"/>
    <n v="7"/>
    <n v="7101"/>
    <n v="93"/>
  </r>
  <r>
    <x v="450"/>
    <x v="0"/>
    <x v="4"/>
    <x v="1"/>
    <x v="2"/>
    <x v="0"/>
    <x v="17"/>
    <n v="7645"/>
    <n v="4204"/>
    <x v="407"/>
    <n v="1810"/>
    <n v="24"/>
    <n v="5836"/>
    <n v="76"/>
  </r>
  <r>
    <x v="451"/>
    <x v="1"/>
    <x v="0"/>
    <x v="0"/>
    <x v="1"/>
    <x v="0"/>
    <x v="21"/>
    <n v="7628"/>
    <n v="6658"/>
    <x v="408"/>
    <n v="3569"/>
    <n v="47"/>
    <n v="4059"/>
    <n v="53"/>
  </r>
  <r>
    <x v="452"/>
    <x v="0"/>
    <x v="17"/>
    <x v="5"/>
    <x v="9"/>
    <x v="0"/>
    <x v="20"/>
    <n v="7619"/>
    <n v="5258"/>
    <x v="409"/>
    <n v="2908"/>
    <n v="38"/>
    <n v="4710"/>
    <n v="62"/>
  </r>
  <r>
    <x v="453"/>
    <x v="0"/>
    <x v="1"/>
    <x v="0"/>
    <x v="18"/>
    <x v="1"/>
    <x v="21"/>
    <n v="7612"/>
    <n v="7615"/>
    <x v="56"/>
    <n v="6849"/>
    <n v="90"/>
    <n v="763"/>
    <n v="10"/>
  </r>
  <r>
    <x v="454"/>
    <x v="1"/>
    <x v="1"/>
    <x v="0"/>
    <x v="3"/>
    <x v="0"/>
    <x v="19"/>
    <n v="7608"/>
    <n v="3802"/>
    <x v="410"/>
    <n v="2192"/>
    <n v="29"/>
    <n v="5416"/>
    <n v="71"/>
  </r>
  <r>
    <x v="455"/>
    <x v="1"/>
    <x v="2"/>
    <x v="0"/>
    <x v="1"/>
    <x v="0"/>
    <x v="9"/>
    <n v="7597"/>
    <n v="3576"/>
    <x v="411"/>
    <n v="2786"/>
    <n v="37"/>
    <n v="4811"/>
    <n v="63"/>
  </r>
  <r>
    <x v="456"/>
    <x v="0"/>
    <x v="1"/>
    <x v="0"/>
    <x v="0"/>
    <x v="0"/>
    <x v="11"/>
    <n v="7589"/>
    <n v="6273"/>
    <x v="412"/>
    <n v="5418"/>
    <n v="71"/>
    <n v="2171"/>
    <n v="29"/>
  </r>
  <r>
    <x v="457"/>
    <x v="1"/>
    <x v="40"/>
    <x v="0"/>
    <x v="5"/>
    <x v="0"/>
    <x v="17"/>
    <n v="7553"/>
    <n v="5418"/>
    <x v="413"/>
    <n v="4710"/>
    <n v="62"/>
    <n v="2843"/>
    <n v="38"/>
  </r>
  <r>
    <x v="458"/>
    <x v="0"/>
    <x v="8"/>
    <x v="10"/>
    <x v="0"/>
    <x v="0"/>
    <x v="14"/>
    <n v="7550"/>
    <n v="6212"/>
    <x v="414"/>
    <n v="1537"/>
    <n v="20"/>
    <n v="6013"/>
    <n v="80"/>
  </r>
  <r>
    <x v="459"/>
    <x v="1"/>
    <x v="0"/>
    <x v="7"/>
    <x v="1"/>
    <x v="0"/>
    <x v="58"/>
    <n v="7543"/>
    <n v="7093"/>
    <x v="415"/>
    <n v="6269"/>
    <n v="83"/>
    <n v="1274"/>
    <n v="17"/>
  </r>
  <r>
    <x v="460"/>
    <x v="0"/>
    <x v="0"/>
    <x v="0"/>
    <x v="5"/>
    <x v="0"/>
    <x v="54"/>
    <n v="7503"/>
    <n v="5958"/>
    <x v="416"/>
    <n v="6593"/>
    <n v="88"/>
    <n v="910"/>
    <n v="12"/>
  </r>
  <r>
    <x v="461"/>
    <x v="0"/>
    <x v="5"/>
    <x v="2"/>
    <x v="4"/>
    <x v="1"/>
    <x v="22"/>
    <n v="7486"/>
    <n v="7179"/>
    <x v="417"/>
    <n v="7290"/>
    <n v="97"/>
    <n v="196"/>
    <n v="3"/>
  </r>
  <r>
    <x v="462"/>
    <x v="0"/>
    <x v="1"/>
    <x v="0"/>
    <x v="6"/>
    <x v="0"/>
    <x v="17"/>
    <n v="7485"/>
    <n v="6758"/>
    <x v="418"/>
    <n v="6206"/>
    <n v="83"/>
    <n v="1279"/>
    <n v="17"/>
  </r>
  <r>
    <x v="463"/>
    <x v="1"/>
    <x v="17"/>
    <x v="5"/>
    <x v="15"/>
    <x v="0"/>
    <x v="24"/>
    <n v="7467"/>
    <n v="7465"/>
    <x v="419"/>
    <n v="1331"/>
    <n v="18"/>
    <n v="6136"/>
    <n v="82"/>
  </r>
  <r>
    <x v="464"/>
    <x v="0"/>
    <x v="1"/>
    <x v="0"/>
    <x v="1"/>
    <x v="1"/>
    <x v="14"/>
    <n v="7453"/>
    <n v="2525"/>
    <x v="420"/>
    <n v="6424"/>
    <n v="86"/>
    <n v="1029"/>
    <n v="14"/>
  </r>
  <r>
    <x v="465"/>
    <x v="0"/>
    <x v="1"/>
    <x v="0"/>
    <x v="11"/>
    <x v="0"/>
    <x v="60"/>
    <n v="7451"/>
    <n v="6492"/>
    <x v="421"/>
    <n v="5866"/>
    <n v="79"/>
    <n v="1584"/>
    <n v="21"/>
  </r>
  <r>
    <x v="466"/>
    <x v="0"/>
    <x v="1"/>
    <x v="0"/>
    <x v="0"/>
    <x v="0"/>
    <x v="11"/>
    <n v="7432"/>
    <n v="6392"/>
    <x v="422"/>
    <n v="528"/>
    <n v="7"/>
    <n v="6904"/>
    <n v="93"/>
  </r>
  <r>
    <x v="467"/>
    <x v="0"/>
    <x v="1"/>
    <x v="0"/>
    <x v="11"/>
    <x v="0"/>
    <x v="6"/>
    <n v="7424"/>
    <n v="7117"/>
    <x v="423"/>
    <n v="6510"/>
    <n v="88"/>
    <n v="913"/>
    <n v="12"/>
  </r>
  <r>
    <x v="468"/>
    <x v="0"/>
    <x v="17"/>
    <x v="5"/>
    <x v="15"/>
    <x v="0"/>
    <x v="2"/>
    <n v="7417"/>
    <n v="4668"/>
    <x v="424"/>
    <n v="4914"/>
    <n v="66"/>
    <n v="2503"/>
    <n v="34"/>
  </r>
  <r>
    <x v="469"/>
    <x v="0"/>
    <x v="22"/>
    <x v="1"/>
    <x v="0"/>
    <x v="0"/>
    <x v="17"/>
    <n v="7406"/>
    <n v="6405"/>
    <x v="425"/>
    <n v="639"/>
    <n v="9"/>
    <n v="6766"/>
    <n v="91"/>
  </r>
  <r>
    <x v="470"/>
    <x v="1"/>
    <x v="17"/>
    <x v="5"/>
    <x v="15"/>
    <x v="1"/>
    <x v="1"/>
    <n v="7388"/>
    <n v="3472"/>
    <x v="426"/>
    <n v="2318"/>
    <n v="31"/>
    <n v="5071"/>
    <n v="69"/>
  </r>
  <r>
    <x v="471"/>
    <x v="0"/>
    <x v="17"/>
    <x v="5"/>
    <x v="9"/>
    <x v="0"/>
    <x v="7"/>
    <n v="7388"/>
    <n v="2808"/>
    <x v="427"/>
    <n v="360"/>
    <n v="5"/>
    <n v="7028"/>
    <n v="95"/>
  </r>
  <r>
    <x v="472"/>
    <x v="0"/>
    <x v="22"/>
    <x v="1"/>
    <x v="0"/>
    <x v="0"/>
    <x v="26"/>
    <n v="7378"/>
    <n v="4274"/>
    <x v="428"/>
    <n v="716"/>
    <n v="10"/>
    <n v="6661"/>
    <n v="90"/>
  </r>
  <r>
    <x v="473"/>
    <x v="0"/>
    <x v="2"/>
    <x v="0"/>
    <x v="1"/>
    <x v="0"/>
    <x v="9"/>
    <n v="7353"/>
    <n v="3894"/>
    <x v="429"/>
    <n v="6069"/>
    <n v="83"/>
    <n v="1283"/>
    <n v="17"/>
  </r>
  <r>
    <x v="474"/>
    <x v="2"/>
    <x v="1"/>
    <x v="0"/>
    <x v="0"/>
    <x v="1"/>
    <x v="2"/>
    <n v="7348"/>
    <n v="6712"/>
    <x v="430"/>
    <n v="115"/>
    <n v="2"/>
    <n v="7233"/>
    <n v="98"/>
  </r>
  <r>
    <x v="475"/>
    <x v="0"/>
    <x v="1"/>
    <x v="0"/>
    <x v="11"/>
    <x v="0"/>
    <x v="9"/>
    <n v="7338"/>
    <n v="3928"/>
    <x v="431"/>
    <n v="5341"/>
    <n v="73"/>
    <n v="1997"/>
    <n v="27"/>
  </r>
  <r>
    <x v="476"/>
    <x v="1"/>
    <x v="41"/>
    <x v="0"/>
    <x v="1"/>
    <x v="0"/>
    <x v="0"/>
    <n v="7335"/>
    <n v="6736"/>
    <x v="432"/>
    <n v="1342"/>
    <n v="18"/>
    <n v="5993"/>
    <n v="82"/>
  </r>
  <r>
    <x v="477"/>
    <x v="0"/>
    <x v="1"/>
    <x v="0"/>
    <x v="18"/>
    <x v="1"/>
    <x v="11"/>
    <n v="7327"/>
    <n v="1671"/>
    <x v="433"/>
    <n v="6817"/>
    <n v="93"/>
    <n v="510"/>
    <n v="7"/>
  </r>
  <r>
    <x v="478"/>
    <x v="0"/>
    <x v="1"/>
    <x v="0"/>
    <x v="11"/>
    <x v="0"/>
    <x v="14"/>
    <n v="7313"/>
    <n v="7318"/>
    <x v="320"/>
    <n v="2902"/>
    <n v="40"/>
    <n v="4412"/>
    <n v="60"/>
  </r>
  <r>
    <x v="479"/>
    <x v="1"/>
    <x v="42"/>
    <x v="0"/>
    <x v="1"/>
    <x v="0"/>
    <x v="22"/>
    <n v="7287"/>
    <n v="4704"/>
    <x v="434"/>
    <n v="6083"/>
    <n v="83"/>
    <n v="1204"/>
    <n v="17"/>
  </r>
  <r>
    <x v="480"/>
    <x v="0"/>
    <x v="17"/>
    <x v="5"/>
    <x v="9"/>
    <x v="1"/>
    <x v="19"/>
    <n v="7278"/>
    <n v="6837"/>
    <x v="435"/>
    <n v="3003"/>
    <n v="41"/>
    <n v="4275"/>
    <n v="59"/>
  </r>
  <r>
    <x v="481"/>
    <x v="1"/>
    <x v="22"/>
    <x v="1"/>
    <x v="9"/>
    <x v="0"/>
    <x v="27"/>
    <n v="7256"/>
    <n v="2470"/>
    <x v="436"/>
    <n v="976"/>
    <n v="13"/>
    <n v="6280"/>
    <n v="87"/>
  </r>
  <r>
    <x v="482"/>
    <x v="0"/>
    <x v="1"/>
    <x v="0"/>
    <x v="0"/>
    <x v="0"/>
    <x v="9"/>
    <n v="7252"/>
    <n v="4584"/>
    <x v="437"/>
    <n v="2499"/>
    <n v="34"/>
    <n v="4753"/>
    <n v="66"/>
  </r>
  <r>
    <x v="483"/>
    <x v="1"/>
    <x v="32"/>
    <x v="8"/>
    <x v="1"/>
    <x v="0"/>
    <x v="15"/>
    <n v="7240"/>
    <n v="0"/>
    <x v="438"/>
    <n v="0"/>
    <n v="0"/>
    <n v="7240"/>
    <n v="100"/>
  </r>
  <r>
    <x v="484"/>
    <x v="0"/>
    <x v="1"/>
    <x v="0"/>
    <x v="0"/>
    <x v="0"/>
    <x v="16"/>
    <n v="7238"/>
    <n v="0"/>
    <x v="439"/>
    <n v="0"/>
    <n v="0"/>
    <n v="7238"/>
    <n v="100"/>
  </r>
  <r>
    <x v="485"/>
    <x v="0"/>
    <x v="23"/>
    <x v="1"/>
    <x v="0"/>
    <x v="0"/>
    <x v="26"/>
    <n v="7210"/>
    <n v="3304"/>
    <x v="440"/>
    <n v="2184"/>
    <n v="30"/>
    <n v="5026"/>
    <n v="70"/>
  </r>
  <r>
    <x v="486"/>
    <x v="0"/>
    <x v="2"/>
    <x v="0"/>
    <x v="1"/>
    <x v="0"/>
    <x v="19"/>
    <n v="7193"/>
    <n v="4689"/>
    <x v="441"/>
    <n v="3982"/>
    <n v="55"/>
    <n v="3210"/>
    <n v="45"/>
  </r>
  <r>
    <x v="487"/>
    <x v="0"/>
    <x v="5"/>
    <x v="2"/>
    <x v="4"/>
    <x v="1"/>
    <x v="27"/>
    <n v="7182"/>
    <n v="6878"/>
    <x v="442"/>
    <n v="6118"/>
    <n v="85"/>
    <n v="1064"/>
    <n v="15"/>
  </r>
  <r>
    <x v="488"/>
    <x v="0"/>
    <x v="10"/>
    <x v="1"/>
    <x v="10"/>
    <x v="1"/>
    <x v="7"/>
    <n v="7123"/>
    <n v="5596"/>
    <x v="443"/>
    <n v="3002"/>
    <n v="42"/>
    <n v="4121"/>
    <n v="58"/>
  </r>
  <r>
    <x v="489"/>
    <x v="0"/>
    <x v="1"/>
    <x v="0"/>
    <x v="1"/>
    <x v="0"/>
    <x v="11"/>
    <n v="7114"/>
    <n v="4400"/>
    <x v="444"/>
    <n v="4"/>
    <n v="0"/>
    <n v="7110"/>
    <n v="100"/>
  </r>
  <r>
    <x v="490"/>
    <x v="0"/>
    <x v="1"/>
    <x v="0"/>
    <x v="0"/>
    <x v="0"/>
    <x v="8"/>
    <n v="7074"/>
    <n v="2882"/>
    <x v="445"/>
    <n v="1158"/>
    <n v="16"/>
    <n v="5915"/>
    <n v="84"/>
  </r>
  <r>
    <x v="491"/>
    <x v="0"/>
    <x v="1"/>
    <x v="0"/>
    <x v="0"/>
    <x v="0"/>
    <x v="17"/>
    <n v="7061"/>
    <n v="7067"/>
    <x v="56"/>
    <n v="4347"/>
    <n v="62"/>
    <n v="2714"/>
    <n v="38"/>
  </r>
  <r>
    <x v="492"/>
    <x v="0"/>
    <x v="10"/>
    <x v="1"/>
    <x v="9"/>
    <x v="0"/>
    <x v="53"/>
    <n v="7059"/>
    <n v="6506"/>
    <x v="446"/>
    <n v="5676"/>
    <n v="80"/>
    <n v="1383"/>
    <n v="20"/>
  </r>
  <r>
    <x v="493"/>
    <x v="0"/>
    <x v="10"/>
    <x v="1"/>
    <x v="9"/>
    <x v="1"/>
    <x v="55"/>
    <n v="7059"/>
    <n v="6607"/>
    <x v="447"/>
    <n v="7059"/>
    <n v="100"/>
    <n v="0"/>
    <n v="0"/>
  </r>
  <r>
    <x v="494"/>
    <x v="0"/>
    <x v="1"/>
    <x v="0"/>
    <x v="1"/>
    <x v="0"/>
    <x v="18"/>
    <n v="7048"/>
    <n v="6851"/>
    <x v="448"/>
    <n v="5805"/>
    <n v="82"/>
    <n v="1244"/>
    <n v="18"/>
  </r>
  <r>
    <x v="495"/>
    <x v="0"/>
    <x v="2"/>
    <x v="0"/>
    <x v="5"/>
    <x v="1"/>
    <x v="31"/>
    <n v="7034"/>
    <n v="7035"/>
    <x v="136"/>
    <n v="6940"/>
    <n v="99"/>
    <n v="94"/>
    <n v="1"/>
  </r>
  <r>
    <x v="496"/>
    <x v="2"/>
    <x v="1"/>
    <x v="0"/>
    <x v="1"/>
    <x v="1"/>
    <x v="17"/>
    <n v="7029"/>
    <n v="5774"/>
    <x v="449"/>
    <n v="5706"/>
    <n v="81"/>
    <n v="1323"/>
    <n v="19"/>
  </r>
  <r>
    <x v="497"/>
    <x v="0"/>
    <x v="1"/>
    <x v="0"/>
    <x v="22"/>
    <x v="1"/>
    <x v="15"/>
    <n v="7019"/>
    <n v="7018"/>
    <x v="395"/>
    <n v="6806"/>
    <n v="97"/>
    <n v="213"/>
    <n v="3"/>
  </r>
  <r>
    <x v="498"/>
    <x v="0"/>
    <x v="1"/>
    <x v="0"/>
    <x v="18"/>
    <x v="1"/>
    <x v="37"/>
    <n v="6976"/>
    <n v="4188"/>
    <x v="450"/>
    <n v="6415"/>
    <n v="92"/>
    <n v="562"/>
    <n v="8"/>
  </r>
  <r>
    <x v="499"/>
    <x v="0"/>
    <x v="1"/>
    <x v="1"/>
    <x v="2"/>
    <x v="0"/>
    <x v="17"/>
    <n v="6972"/>
    <n v="6956"/>
    <x v="127"/>
    <n v="1876"/>
    <n v="27"/>
    <n v="5096"/>
    <n v="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F7812-A033-4896-A6D5-6B5D0B861B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4">
    <pivotField dataField="1"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showAll="0"/>
    <pivotField showAll="0"/>
    <pivotField showAll="0"/>
    <pivotField showAll="0"/>
    <pivotField showAll="0"/>
  </pivotFields>
  <rowItems count="1">
    <i/>
  </rowItems>
  <colItems count="1">
    <i/>
  </colItems>
  <dataFields count="1">
    <dataField name="Count of Artist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BE3C4F-49C1-4CDC-802B-C293985168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4">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 of Collaborative Streams (in millions)" fld="12" subtotal="average" baseField="0" baseItem="0" numFmtId="1"/>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D94D1F-68BF-46AC-86C9-91C956BA48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4">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dataField="1" showAll="0"/>
    <pivotField showAll="0"/>
    <pivotField showAll="0"/>
    <pivotField showAll="0"/>
    <pivotField showAll="0"/>
    <pivotField showAll="0"/>
    <pivotField showAll="0"/>
  </pivotFields>
  <rowItems count="1">
    <i/>
  </rowItems>
  <colItems count="1">
    <i/>
  </colItems>
  <dataFields count="1">
    <dataField name="Sum of Total Streams (in million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F1C45-EB7C-4E51-B988-9E2ACC1254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4">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dataField="1"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Debut Year" fld="6" subtotal="average"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4AEB37-91B9-4CED-B066-D95899894B1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8:B140" firstHeaderRow="1" firstDataRow="1" firstDataCol="1"/>
  <pivotFields count="14">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axis="axisRow"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showAll="0"/>
    <pivotField showAll="0"/>
    <pivotField showAll="0"/>
    <pivotField dataField="1" showAll="0"/>
    <pivotField showAll="0"/>
  </pivotFields>
  <rowFields count="1">
    <field x="3"/>
  </rowFields>
  <rowItems count="12">
    <i>
      <x/>
    </i>
    <i>
      <x v="1"/>
    </i>
    <i>
      <x v="2"/>
    </i>
    <i>
      <x v="3"/>
    </i>
    <i>
      <x v="4"/>
    </i>
    <i>
      <x v="5"/>
    </i>
    <i>
      <x v="6"/>
    </i>
    <i>
      <x v="7"/>
    </i>
    <i>
      <x v="8"/>
    </i>
    <i>
      <x v="9"/>
    </i>
    <i>
      <x v="10"/>
    </i>
    <i t="grand">
      <x/>
    </i>
  </rowItems>
  <colItems count="1">
    <i/>
  </colItems>
  <dataFields count="1">
    <dataField name="Sum of Collaborative Streams (in millions)" fld="12"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22537E-27BC-420A-B351-A78C512C9A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3:B116" firstHeaderRow="1" firstDataRow="1" firstDataCol="1"/>
  <pivotFields count="14">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axis="axisRow" showAll="0">
      <items count="3">
        <item x="1"/>
        <item x="0"/>
        <item t="default"/>
      </items>
    </pivotField>
    <pivotField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dataField="1" showAll="0">
      <items count="452">
        <item x="56"/>
        <item x="265"/>
        <item x="60"/>
        <item x="136"/>
        <item x="275"/>
        <item x="395"/>
        <item x="297"/>
        <item x="320"/>
        <item x="103"/>
        <item x="351"/>
        <item x="127"/>
        <item x="182"/>
        <item x="419"/>
        <item x="357"/>
        <item x="222"/>
        <item x="260"/>
        <item x="319"/>
        <item x="248"/>
        <item x="100"/>
        <item x="348"/>
        <item x="207"/>
        <item x="308"/>
        <item x="263"/>
        <item x="356"/>
        <item x="57"/>
        <item x="112"/>
        <item x="77"/>
        <item x="290"/>
        <item x="274"/>
        <item x="349"/>
        <item x="155"/>
        <item x="380"/>
        <item x="217"/>
        <item x="267"/>
        <item x="163"/>
        <item x="188"/>
        <item x="162"/>
        <item x="282"/>
        <item x="384"/>
        <item x="309"/>
        <item x="333"/>
        <item x="448"/>
        <item x="377"/>
        <item x="38"/>
        <item x="378"/>
        <item x="346"/>
        <item x="84"/>
        <item x="394"/>
        <item x="276"/>
        <item x="442"/>
        <item x="397"/>
        <item x="423"/>
        <item x="417"/>
        <item x="271"/>
        <item x="383"/>
        <item x="359"/>
        <item x="355"/>
        <item x="388"/>
        <item x="347"/>
        <item x="224"/>
        <item x="447"/>
        <item x="415"/>
        <item x="435"/>
        <item x="306"/>
        <item x="181"/>
        <item x="368"/>
        <item x="326"/>
        <item x="393"/>
        <item x="147"/>
        <item x="303"/>
        <item x="342"/>
        <item x="446"/>
        <item x="35"/>
        <item x="273"/>
        <item x="432"/>
        <item x="364"/>
        <item x="134"/>
        <item x="430"/>
        <item x="365"/>
        <item x="360"/>
        <item x="239"/>
        <item x="55"/>
        <item x="396"/>
        <item x="314"/>
        <item x="220"/>
        <item x="192"/>
        <item x="418"/>
        <item x="336"/>
        <item x="389"/>
        <item x="214"/>
        <item x="382"/>
        <item x="111"/>
        <item x="334"/>
        <item x="88"/>
        <item x="90"/>
        <item x="11"/>
        <item x="350"/>
        <item x="385"/>
        <item x="74"/>
        <item x="252"/>
        <item x="398"/>
        <item x="343"/>
        <item x="169"/>
        <item x="421"/>
        <item x="408"/>
        <item x="202"/>
        <item x="379"/>
        <item x="173"/>
        <item x="425"/>
        <item x="422"/>
        <item x="291"/>
        <item x="345"/>
        <item x="197"/>
        <item x="205"/>
        <item x="238"/>
        <item x="175"/>
        <item x="233"/>
        <item x="81"/>
        <item x="302"/>
        <item x="279"/>
        <item x="124"/>
        <item x="323"/>
        <item x="196"/>
        <item x="219"/>
        <item x="191"/>
        <item x="449"/>
        <item x="339"/>
        <item x="171"/>
        <item x="404"/>
        <item x="142"/>
        <item x="288"/>
        <item x="412"/>
        <item x="97"/>
        <item x="414"/>
        <item x="374"/>
        <item x="321"/>
        <item x="257"/>
        <item x="138"/>
        <item x="363"/>
        <item x="443"/>
        <item x="322"/>
        <item x="416"/>
        <item x="325"/>
        <item x="250"/>
        <item x="140"/>
        <item x="204"/>
        <item x="371"/>
        <item x="259"/>
        <item x="106"/>
        <item x="107"/>
        <item x="89"/>
        <item x="1"/>
        <item x="261"/>
        <item x="234"/>
        <item x="293"/>
        <item x="198"/>
        <item x="45"/>
        <item x="401"/>
        <item x="110"/>
        <item x="338"/>
        <item x="352"/>
        <item x="211"/>
        <item x="152"/>
        <item x="101"/>
        <item x="362"/>
        <item x="227"/>
        <item x="235"/>
        <item x="292"/>
        <item x="141"/>
        <item x="157"/>
        <item x="335"/>
        <item x="289"/>
        <item x="237"/>
        <item x="75"/>
        <item x="285"/>
        <item x="413"/>
        <item x="367"/>
        <item x="30"/>
        <item x="43"/>
        <item x="272"/>
        <item x="409"/>
        <item x="151"/>
        <item x="164"/>
        <item x="189"/>
        <item x="441"/>
        <item x="208"/>
        <item x="386"/>
        <item x="331"/>
        <item x="177"/>
        <item x="434"/>
        <item x="316"/>
        <item x="437"/>
        <item x="286"/>
        <item x="358"/>
        <item x="444"/>
        <item x="370"/>
        <item x="424"/>
        <item x="450"/>
        <item x="354"/>
        <item x="62"/>
        <item x="268"/>
        <item x="146"/>
        <item x="180"/>
        <item x="353"/>
        <item x="281"/>
        <item x="311"/>
        <item x="132"/>
        <item x="428"/>
        <item x="340"/>
        <item x="80"/>
        <item x="201"/>
        <item x="66"/>
        <item x="399"/>
        <item x="244"/>
        <item x="228"/>
        <item x="391"/>
        <item x="313"/>
        <item x="105"/>
        <item x="61"/>
        <item x="262"/>
        <item x="372"/>
        <item x="172"/>
        <item x="278"/>
        <item x="431"/>
        <item x="299"/>
        <item x="407"/>
        <item x="429"/>
        <item x="318"/>
        <item x="294"/>
        <item x="159"/>
        <item x="195"/>
        <item x="229"/>
        <item x="113"/>
        <item x="369"/>
        <item x="387"/>
        <item x="115"/>
        <item x="298"/>
        <item x="287"/>
        <item x="231"/>
        <item x="170"/>
        <item x="410"/>
        <item x="247"/>
        <item x="145"/>
        <item x="19"/>
        <item x="317"/>
        <item x="440"/>
        <item x="194"/>
        <item x="426"/>
        <item x="329"/>
        <item x="23"/>
        <item x="411"/>
        <item x="307"/>
        <item x="122"/>
        <item x="305"/>
        <item x="324"/>
        <item x="445"/>
        <item x="209"/>
        <item x="400"/>
        <item x="403"/>
        <item x="215"/>
        <item x="232"/>
        <item x="283"/>
        <item x="243"/>
        <item x="199"/>
        <item x="137"/>
        <item x="236"/>
        <item x="154"/>
        <item x="168"/>
        <item x="76"/>
        <item x="158"/>
        <item x="246"/>
        <item x="218"/>
        <item x="143"/>
        <item x="167"/>
        <item x="160"/>
        <item x="269"/>
        <item x="327"/>
        <item x="117"/>
        <item x="427"/>
        <item x="187"/>
        <item x="52"/>
        <item x="270"/>
        <item x="337"/>
        <item x="373"/>
        <item x="200"/>
        <item x="436"/>
        <item x="381"/>
        <item x="96"/>
        <item x="178"/>
        <item x="390"/>
        <item x="420"/>
        <item x="312"/>
        <item x="300"/>
        <item x="254"/>
        <item x="301"/>
        <item x="402"/>
        <item x="58"/>
        <item x="315"/>
        <item x="116"/>
        <item x="225"/>
        <item x="135"/>
        <item x="255"/>
        <item x="40"/>
        <item x="17"/>
        <item x="332"/>
        <item x="304"/>
        <item x="133"/>
        <item x="206"/>
        <item x="128"/>
        <item x="241"/>
        <item x="328"/>
        <item x="50"/>
        <item x="433"/>
        <item x="193"/>
        <item x="184"/>
        <item x="344"/>
        <item x="296"/>
        <item x="251"/>
        <item x="114"/>
        <item x="392"/>
        <item x="183"/>
        <item x="406"/>
        <item x="258"/>
        <item x="121"/>
        <item x="29"/>
        <item x="130"/>
        <item x="165"/>
        <item x="330"/>
        <item x="82"/>
        <item x="179"/>
        <item x="14"/>
        <item x="93"/>
        <item x="95"/>
        <item x="221"/>
        <item x="94"/>
        <item x="366"/>
        <item x="131"/>
        <item x="277"/>
        <item x="295"/>
        <item x="249"/>
        <item x="176"/>
        <item x="8"/>
        <item x="210"/>
        <item x="375"/>
        <item x="126"/>
        <item x="190"/>
        <item x="310"/>
        <item x="109"/>
        <item x="51"/>
        <item x="439"/>
        <item x="438"/>
        <item x="212"/>
        <item x="376"/>
        <item x="99"/>
        <item x="245"/>
        <item x="341"/>
        <item x="405"/>
        <item x="69"/>
        <item x="120"/>
        <item x="64"/>
        <item x="223"/>
        <item x="166"/>
        <item x="153"/>
        <item x="213"/>
        <item x="150"/>
        <item x="47"/>
        <item x="253"/>
        <item x="36"/>
        <item x="226"/>
        <item x="284"/>
        <item x="361"/>
        <item x="242"/>
        <item x="280"/>
        <item x="156"/>
        <item x="118"/>
        <item x="203"/>
        <item x="266"/>
        <item x="129"/>
        <item x="65"/>
        <item x="139"/>
        <item x="87"/>
        <item x="79"/>
        <item x="186"/>
        <item x="123"/>
        <item x="174"/>
        <item x="161"/>
        <item x="216"/>
        <item x="9"/>
        <item x="264"/>
        <item x="240"/>
        <item x="108"/>
        <item x="71"/>
        <item x="49"/>
        <item x="98"/>
        <item x="119"/>
        <item x="67"/>
        <item x="48"/>
        <item x="256"/>
        <item x="78"/>
        <item x="5"/>
        <item x="24"/>
        <item x="125"/>
        <item x="83"/>
        <item x="72"/>
        <item x="144"/>
        <item x="102"/>
        <item x="230"/>
        <item x="20"/>
        <item x="92"/>
        <item x="86"/>
        <item x="185"/>
        <item x="73"/>
        <item x="33"/>
        <item x="25"/>
        <item x="149"/>
        <item x="46"/>
        <item x="70"/>
        <item x="59"/>
        <item x="148"/>
        <item x="91"/>
        <item x="41"/>
        <item x="63"/>
        <item x="13"/>
        <item x="42"/>
        <item x="10"/>
        <item x="27"/>
        <item x="12"/>
        <item x="104"/>
        <item x="37"/>
        <item x="39"/>
        <item x="3"/>
        <item x="7"/>
        <item x="21"/>
        <item x="44"/>
        <item x="53"/>
        <item x="54"/>
        <item x="68"/>
        <item x="26"/>
        <item x="85"/>
        <item x="28"/>
        <item x="32"/>
        <item x="31"/>
        <item x="34"/>
        <item x="16"/>
        <item x="22"/>
        <item x="18"/>
        <item x="15"/>
        <item x="4"/>
        <item x="6"/>
        <item x="0"/>
        <item x="2"/>
        <item t="default"/>
      </items>
    </pivotField>
    <pivotField showAll="0"/>
    <pivotField showAll="0"/>
    <pivotField showAll="0"/>
    <pivotField showAll="0"/>
  </pivotFields>
  <rowFields count="1">
    <field x="5"/>
  </rowFields>
  <rowItems count="3">
    <i>
      <x/>
    </i>
    <i>
      <x v="1"/>
    </i>
    <i t="grand">
      <x/>
    </i>
  </rowItems>
  <colItems count="1">
    <i/>
  </colItems>
  <dataFields count="1">
    <dataField name="Sum of Feature Streams (in millions)" fld="9" baseField="0" baseItem="0"/>
  </dataFields>
  <chartFormats count="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5" count="1" selected="0">
            <x v="0"/>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ED93A3-7753-40AC-AAE2-37DEFE65C9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B110" firstHeaderRow="1" firstDataRow="1" firstDataCol="1"/>
  <pivotFields count="14">
    <pivotField dataField="1"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axis="axisRow"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showAll="0"/>
    <pivotField showAll="0"/>
    <pivotField showAll="0"/>
    <pivotField showAll="0"/>
    <pivotField showAll="0"/>
  </pivotFields>
  <rowFields count="1">
    <field x="6"/>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Count of Artist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0575BC-02CB-4C15-8A32-A269CEB8FD5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1:B35" firstHeaderRow="1" firstDataRow="1" firstDataCol="1"/>
  <pivotFields count="14">
    <pivotField dataField="1"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pivotField showAll="0"/>
    <pivotField showAll="0"/>
    <pivotField showAll="0"/>
    <pivotField showAll="0"/>
    <pivotField showAll="0"/>
    <pivotField showAll="0"/>
  </pivotFields>
  <rowFields count="1">
    <field x="1"/>
  </rowFields>
  <rowItems count="4">
    <i>
      <x v="1"/>
    </i>
    <i>
      <x/>
    </i>
    <i>
      <x v="2"/>
    </i>
    <i t="grand">
      <x/>
    </i>
  </rowItems>
  <colItems count="1">
    <i/>
  </colItems>
  <dataFields count="1">
    <dataField name="Count of Artist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E869CD-711B-4B55-A54F-175F595FFF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7" firstHeaderRow="1" firstDataRow="1" firstDataCol="1"/>
  <pivotFields count="14">
    <pivotField showAll="0">
      <items count="501">
        <item n="arti"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axis="axisRow"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dataField="1" showAll="0"/>
    <pivotField showAll="0"/>
    <pivotField showAll="0"/>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Total Streams (in millions)"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FB5114-6D49-45CA-9AD9-A3F2FA8C29CB}" autoFormatId="16" applyNumberFormats="0" applyBorderFormats="0" applyFontFormats="0" applyPatternFormats="0" applyAlignmentFormats="0" applyWidthHeightFormats="0">
  <queryTableRefresh nextId="15">
    <queryTableFields count="14">
      <queryTableField id="1" name="Artist Name" tableColumnId="1"/>
      <queryTableField id="2" name="Gender" tableColumnId="2"/>
      <queryTableField id="3" name="Country of Origin" tableColumnId="3"/>
      <queryTableField id="4" name="Primary Language" tableColumnId="4"/>
      <queryTableField id="5" name="Primary Genre" tableColumnId="5"/>
      <queryTableField id="6" name=" Artist Type" tableColumnId="6"/>
      <queryTableField id="7" name="Debut Year" tableColumnId="7"/>
      <queryTableField id="8" name="Total Streams (in millions)" tableColumnId="8"/>
      <queryTableField id="9" name="Lead Streams (in millions)" tableColumnId="9"/>
      <queryTableField id="10" name="Feature Streams (in millions)" tableColumnId="10"/>
      <queryTableField id="11" name="Solo Streams (in millions)" tableColumnId="11"/>
      <queryTableField id="12" name="% of Solo Streams" tableColumnId="12"/>
      <queryTableField id="13" name="Collaborative Streams (in millions)" tableColumnId="13"/>
      <queryTableField id="14" name="% of Collaborative Stream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Name" xr10:uid="{9E8BCB16-9DBA-4EC7-A411-39CCFBAFB121}" sourceName="Artist Name">
  <pivotTables>
    <pivotTable tabId="3" name="PivotTable1"/>
    <pivotTable tabId="4" name="PivotTable13"/>
    <pivotTable tabId="4" name="PivotTable5"/>
    <pivotTable tabId="4" name="PivotTable6"/>
    <pivotTable tabId="4" name="PivotTable7"/>
    <pivotTable tabId="4" name="PivotTable8"/>
    <pivotTable tabId="3" name="PivotTable2"/>
    <pivotTable tabId="3" name="PivotTable3"/>
    <pivotTable tabId="3" name="PivotTable4"/>
  </pivotTables>
  <data>
    <tabular pivotCacheId="1291515971">
      <items count="500">
        <i x="93" s="1"/>
        <i x="196" s="1"/>
        <i x="32" s="1"/>
        <i x="190" s="1"/>
        <i x="230" s="1"/>
        <i x="99" s="1"/>
        <i x="408" s="1"/>
        <i x="440" s="1"/>
        <i x="139" s="1"/>
        <i x="83" s="1"/>
        <i x="167" s="1"/>
        <i x="233" s="1"/>
        <i x="223" s="1"/>
        <i x="135" s="1"/>
        <i x="62" s="1"/>
        <i x="413" s="1"/>
        <i x="134" s="1"/>
        <i x="138" s="1"/>
        <i x="381" s="1"/>
        <i x="346" s="1"/>
        <i x="311" s="1"/>
        <i x="443" s="1"/>
        <i x="364" s="1"/>
        <i x="247" s="1"/>
        <i x="360" s="1"/>
        <i x="317" s="1"/>
        <i x="246" s="1"/>
        <i x="373" s="1"/>
        <i x="463" s="1"/>
        <i x="338" s="1"/>
        <i x="173" s="1"/>
        <i x="163" s="1"/>
        <i x="238" s="1"/>
        <i x="28" s="1"/>
        <i x="90" s="1"/>
        <i x="66" s="1"/>
        <i x="5" s="1"/>
        <i x="34" s="1"/>
        <i x="189" s="1"/>
        <i x="430" s="1"/>
        <i x="234" s="1"/>
        <i x="435" s="1"/>
        <i x="297" s="1"/>
        <i x="95" s="1"/>
        <i x="377" s="1"/>
        <i x="466" s="1"/>
        <i x="390" s="1"/>
        <i x="2" s="1"/>
        <i x="208" s="1"/>
        <i x="342" s="1"/>
        <i x="279" s="1"/>
        <i x="457" s="1"/>
        <i x="130" s="1"/>
        <i x="224" s="1"/>
        <i x="414" s="1"/>
        <i x="489" s="1"/>
        <i x="322" s="1"/>
        <i x="40" s="1"/>
        <i x="403" s="1"/>
        <i x="144" s="1"/>
        <i x="11" s="1"/>
        <i x="349" s="1"/>
        <i x="159" s="1"/>
        <i x="155" s="1"/>
        <i x="267" s="1"/>
        <i x="128" s="1"/>
        <i x="361" s="1"/>
        <i x="290" s="1"/>
        <i x="171" s="1"/>
        <i x="419" s="1"/>
        <i x="288" s="1"/>
        <i x="402" s="1"/>
        <i x="206" s="1"/>
        <i x="318" s="1"/>
        <i x="149" s="1"/>
        <i x="363" s="1"/>
        <i x="12" s="1"/>
        <i x="460" s="1"/>
        <i x="242" s="1"/>
        <i x="198" s="1"/>
        <i x="442" s="1"/>
        <i x="17" s="1"/>
        <i x="307" s="1"/>
        <i x="459" s="1"/>
        <i x="395" s="1"/>
        <i x="486" s="1"/>
        <i x="43" s="1"/>
        <i x="92" s="1"/>
        <i x="194" s="1"/>
        <i x="137" s="1"/>
        <i x="87" s="1"/>
        <i x="356" s="1"/>
        <i x="319" s="1"/>
        <i x="265" s="1"/>
        <i x="396" s="1"/>
        <i x="177" s="1"/>
        <i x="120" s="1"/>
        <i x="339" s="1"/>
        <i x="286" s="1"/>
        <i x="215" s="1"/>
        <i x="21" s="1"/>
        <i x="257" s="1"/>
        <i x="205" s="1"/>
        <i x="275" s="1"/>
        <i x="214" s="1"/>
        <i x="369" s="1"/>
        <i x="294" s="1"/>
        <i x="19" s="1"/>
        <i x="305" s="1"/>
        <i x="268" s="1"/>
        <i x="262" s="1"/>
        <i x="103" s="1"/>
        <i x="26" s="1"/>
        <i x="131" s="1"/>
        <i x="323" s="1"/>
        <i x="154" s="1"/>
        <i x="308" s="1"/>
        <i x="287" s="1"/>
        <i x="376" s="1"/>
        <i x="295" s="1"/>
        <i x="24" s="1"/>
        <i x="303" s="1"/>
        <i x="368" s="1"/>
        <i x="133" s="1"/>
        <i x="81" s="1"/>
        <i x="96" s="1"/>
        <i x="433" s="1"/>
        <i x="441" s="1"/>
        <i x="89" s="1"/>
        <i x="453" s="1"/>
        <i x="272" s="1"/>
        <i x="372" s="1"/>
        <i x="153" s="1"/>
        <i x="50" s="1"/>
        <i x="462" s="1"/>
        <i x="118" s="1"/>
        <i x="104" s="1"/>
        <i x="212" s="1"/>
        <i x="0" s="1"/>
        <i x="25" s="1"/>
        <i x="158" s="1"/>
        <i x="426" s="1"/>
        <i x="8" s="1"/>
        <i x="359" s="1"/>
        <i x="244" s="1"/>
        <i x="142" s="1"/>
        <i x="112" s="1"/>
        <i x="260" s="1"/>
        <i x="9" s="1"/>
        <i x="461" s="1"/>
        <i x="226" s="1"/>
        <i x="420" s="1"/>
        <i x="179" s="1"/>
        <i x="54" s="1"/>
        <i x="42" s="1"/>
        <i x="406" s="1"/>
        <i x="384" s="1"/>
        <i x="477" s="1"/>
        <i x="140" s="1"/>
        <i x="145" s="1"/>
        <i x="344" s="1"/>
        <i x="329" s="1"/>
        <i x="298" s="1"/>
        <i x="80" s="1"/>
        <i x="240" s="1"/>
        <i x="258" s="1"/>
        <i x="67" s="1"/>
        <i x="16" s="1"/>
        <i x="358" s="1"/>
        <i x="168" s="1"/>
        <i x="394" s="1"/>
        <i x="348" s="1"/>
        <i x="382" s="1"/>
        <i x="191" s="1"/>
        <i x="333" s="1"/>
        <i x="164" s="1"/>
        <i x="245" s="1"/>
        <i x="193" s="1"/>
        <i x="488" s="1"/>
        <i x="480" s="1"/>
        <i x="175" s="1"/>
        <i x="65" s="1"/>
        <i x="201" s="1"/>
        <i x="243" s="1"/>
        <i x="454" s="1"/>
        <i x="76" s="1"/>
        <i x="366" s="1"/>
        <i x="56" s="1"/>
        <i x="110" s="1"/>
        <i x="141" s="1"/>
        <i x="30" s="1"/>
        <i x="277" s="1"/>
        <i x="15" s="1"/>
        <i x="47" s="1"/>
        <i x="82" s="1"/>
        <i x="231" s="1"/>
        <i x="386" s="1"/>
        <i x="150" s="1"/>
        <i x="467" s="1"/>
        <i x="127" s="1"/>
        <i x="494" s="1"/>
        <i x="405" s="1"/>
        <i x="421" s="1"/>
        <i x="355" s="1"/>
        <i x="335" s="1"/>
        <i x="424" s="1"/>
        <i x="129" s="1"/>
        <i x="292" s="1"/>
        <i x="490" s="1"/>
        <i x="391" s="1"/>
        <i x="380" s="1"/>
        <i x="252" s="1"/>
        <i x="218" s="1"/>
        <i x="465" s="1"/>
        <i x="178" s="1"/>
        <i x="352" s="1"/>
        <i x="365" s="1"/>
        <i x="181" s="1"/>
        <i x="492" s="1"/>
        <i x="354" s="1"/>
        <i x="20" s="1"/>
        <i x="398" s="1"/>
        <i x="367" s="1"/>
        <i x="340" s="1"/>
        <i x="270" s="1"/>
        <i x="68" s="1"/>
        <i x="4" s="1"/>
        <i x="170" s="1"/>
        <i x="121" s="1"/>
        <i x="125" s="1"/>
        <i x="478" s="1"/>
        <i x="7" s="1"/>
        <i x="458" s="1"/>
        <i x="36" s="1"/>
        <i x="64" s="1"/>
        <i x="293" s="1"/>
        <i x="400" s="1"/>
        <i x="13" s="1"/>
        <i x="248" s="1"/>
        <i x="456" s="1"/>
        <i x="39" s="1"/>
        <i x="469" s="1"/>
        <i x="169" s="1"/>
        <i x="379" s="1"/>
        <i x="126" s="1"/>
        <i x="498" s="1"/>
        <i x="447" s="1"/>
        <i x="106" s="1"/>
        <i x="314" s="1"/>
        <i x="285" s="1"/>
        <i x="35" s="1"/>
        <i x="23" s="1"/>
        <i x="464" s="1"/>
        <i x="479" s="1"/>
        <i x="249" s="1"/>
        <i x="320" s="1"/>
        <i x="327" s="1"/>
        <i x="195" s="1"/>
        <i x="192" s="1"/>
        <i x="37" s="1"/>
        <i x="165" s="1"/>
        <i x="220" s="1"/>
        <i x="116" s="1"/>
        <i x="254" s="1"/>
        <i x="347" s="1"/>
        <i x="48" s="1"/>
        <i x="31" s="1"/>
        <i x="227" s="1"/>
        <i x="497" s="1"/>
        <i x="45" s="1"/>
        <i x="278" s="1"/>
        <i x="222" s="1"/>
        <i x="255" s="1"/>
        <i x="437" s="1"/>
        <i x="493" s="1"/>
        <i x="378" s="1"/>
        <i x="468" s="1"/>
        <i x="306" s="1"/>
        <i x="330" s="1"/>
        <i x="132" s="1"/>
        <i x="228" s="1"/>
        <i x="350" s="1"/>
        <i x="111" s="1"/>
        <i x="476" s="1"/>
        <i x="328" s="1"/>
        <i x="321" s="1"/>
        <i x="102" s="1"/>
        <i x="237" s="1"/>
        <i x="474" s="1"/>
        <i x="250" s="1"/>
        <i x="483" s="1"/>
        <i x="470" s="1"/>
        <i x="217" s="1"/>
        <i x="41" s="1"/>
        <i x="392" s="1"/>
        <i x="326" s="1"/>
        <i x="113" s="1"/>
        <i x="162" s="1"/>
        <i x="325" s="1"/>
        <i x="300" s="1"/>
        <i x="202" s="1"/>
        <i x="399" s="1"/>
        <i x="38" s="1"/>
        <i x="86" s="1"/>
        <i x="207" s="1"/>
        <i x="316" s="1"/>
        <i x="471" s="1"/>
        <i x="256" s="1"/>
        <i x="309" s="1"/>
        <i x="204" s="1"/>
        <i x="253" s="1"/>
        <i x="259" s="1"/>
        <i x="117" s="1"/>
        <i x="60" s="1"/>
        <i x="210" s="1"/>
        <i x="236" s="1"/>
        <i x="78" s="1"/>
        <i x="160" s="1"/>
        <i x="219" s="1"/>
        <i x="84" s="1"/>
        <i x="404" s="1"/>
        <i x="281" s="1"/>
        <i x="482" s="1"/>
        <i x="213" s="1"/>
        <i x="485" s="1"/>
        <i x="186" s="1"/>
        <i x="52" s="1"/>
        <i x="446" s="1"/>
        <i x="351" s="1"/>
        <i x="310" s="1"/>
        <i x="44" s="1"/>
        <i x="100" s="1"/>
        <i x="409" s="1"/>
        <i x="362" s="1"/>
        <i x="385" s="1"/>
        <i x="445" s="1"/>
        <i x="451" s="1"/>
        <i x="332" s="1"/>
        <i x="434" s="1"/>
        <i x="174" s="1"/>
        <i x="197" s="1"/>
        <i x="407" s="1"/>
        <i x="324" s="1"/>
        <i x="22" s="1"/>
        <i x="481" s="1"/>
        <i x="74" s="1"/>
        <i x="266" s="1"/>
        <i x="147" s="1"/>
        <i x="393" s="1"/>
        <i x="203" s="1"/>
        <i x="410" s="1"/>
        <i x="274" s="1"/>
        <i x="182" s="1"/>
        <i x="432" s="1"/>
        <i x="61" s="1"/>
        <i x="499" s="1"/>
        <i x="59" s="1"/>
        <i x="94" s="1"/>
        <i x="337" s="1"/>
        <i x="431" s="1"/>
        <i x="18" s="1"/>
        <i x="146" s="1"/>
        <i x="183" s="1"/>
        <i x="264" s="1"/>
        <i x="180" s="1"/>
        <i x="313" s="1"/>
        <i x="448" s="1"/>
        <i x="46" s="1"/>
        <i x="152" s="1"/>
        <i x="428" s="1"/>
        <i x="209" s="1"/>
        <i x="416" s="1"/>
        <i x="73" s="1"/>
        <i x="301" s="1"/>
        <i x="75" s="1"/>
        <i x="166" s="1"/>
        <i x="148" s="1"/>
        <i x="14" s="1"/>
        <i x="341" s="1"/>
        <i x="63" s="1"/>
        <i x="109" s="1"/>
        <i x="57" s="1"/>
        <i x="185" s="1"/>
        <i x="143" s="1"/>
        <i x="423" s="1"/>
        <i x="444" s="1"/>
        <i x="284" s="1"/>
        <i x="27" s="1"/>
        <i x="331" s="1"/>
        <i x="91" s="1"/>
        <i x="251" s="1"/>
        <i x="199" s="1"/>
        <i x="438" s="1"/>
        <i x="436" s="1"/>
        <i x="261" s="1"/>
        <i x="10" s="1"/>
        <i x="455" s="1"/>
        <i x="241" s="1"/>
        <i x="417" s="1"/>
        <i x="200" s="1"/>
        <i x="98" s="1"/>
        <i x="176" s="1"/>
        <i x="422" s="1"/>
        <i x="450" s="1"/>
        <i x="484" s="1"/>
        <i x="79" s="1"/>
        <i x="383" s="1"/>
        <i x="58" s="1"/>
        <i x="439" s="1"/>
        <i x="123" s="1"/>
        <i x="136" s="1"/>
        <i x="107" s="1"/>
        <i x="70" s="1"/>
        <i x="387" s="1"/>
        <i x="343" s="1"/>
        <i x="51" s="1"/>
        <i x="55" s="1"/>
        <i x="157" s="1"/>
        <i x="49" s="1"/>
        <i x="271" s="1"/>
        <i x="276" s="1"/>
        <i x="97" s="1"/>
        <i x="302" s="1"/>
        <i x="397" s="1"/>
        <i x="172" s="1"/>
        <i x="291" s="1"/>
        <i x="156" s="1"/>
        <i x="221" s="1"/>
        <i x="33" s="1"/>
        <i x="357" s="1"/>
        <i x="282" s="1"/>
        <i x="184" s="1"/>
        <i x="375" s="1"/>
        <i x="115" s="1"/>
        <i x="1" s="1"/>
        <i x="353" s="1"/>
        <i x="299" s="1"/>
        <i x="72" s="1"/>
        <i x="85" s="1"/>
        <i x="495" s="1"/>
        <i x="161" s="1"/>
        <i x="289" s="1"/>
        <i x="336" s="1"/>
        <i x="496" s="1"/>
        <i x="108" s="1"/>
        <i x="280" s="1"/>
        <i x="401" s="1"/>
        <i x="427" s="1"/>
        <i x="239" s="1"/>
        <i x="388" s="1"/>
        <i x="425" s="1"/>
        <i x="429" s="1"/>
        <i x="3" s="1"/>
        <i x="475" s="1"/>
        <i x="412" s="1"/>
        <i x="122" s="1"/>
        <i x="472" s="1"/>
        <i x="334" s="1"/>
        <i x="389" s="1"/>
        <i x="188" s="1"/>
        <i x="473" s="1"/>
        <i x="487" s="1"/>
        <i x="151" s="1"/>
        <i x="371" s="1"/>
        <i x="269" s="1"/>
        <i x="6" s="1"/>
        <i x="114" s="1"/>
        <i x="304" s="1"/>
        <i x="374" s="1"/>
        <i x="88" s="1"/>
        <i x="232" s="1"/>
        <i x="71" s="1"/>
        <i x="124" s="1"/>
        <i x="69" s="1"/>
        <i x="296" s="1"/>
        <i x="415" s="1"/>
        <i x="119" s="1"/>
        <i x="418" s="1"/>
        <i x="411" s="1"/>
        <i x="312" s="1"/>
        <i x="452" s="1"/>
        <i x="370" s="1"/>
        <i x="216" s="1"/>
        <i x="211" s="1"/>
        <i x="77" s="1"/>
        <i x="273" s="1"/>
        <i x="29" s="1"/>
        <i x="225" s="1"/>
        <i x="315" s="1"/>
        <i x="345" s="1"/>
        <i x="491" s="1"/>
        <i x="53" s="1"/>
        <i x="101" s="1"/>
        <i x="283" s="1"/>
        <i x="105" s="1"/>
        <i x="187" s="1"/>
        <i x="235" s="1"/>
        <i x="263" s="1"/>
        <i x="449" s="1"/>
        <i x="2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F2A72D-ADCE-443E-BA74-8C72C41298EB}" sourceName="Gender">
  <pivotTables>
    <pivotTable tabId="3" name="PivotTable1"/>
    <pivotTable tabId="4" name="PivotTable13"/>
    <pivotTable tabId="4" name="PivotTable5"/>
    <pivotTable tabId="4" name="PivotTable6"/>
    <pivotTable tabId="4" name="PivotTable7"/>
    <pivotTable tabId="4" name="PivotTable8"/>
    <pivotTable tabId="3" name="PivotTable2"/>
    <pivotTable tabId="3" name="PivotTable3"/>
    <pivotTable tabId="3" name="PivotTable4"/>
  </pivotTables>
  <data>
    <tabular pivotCacheId="129151597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7672D461-C0A2-4EC0-9343-4BD01C7114C8}" sourceName="Country of Origin">
  <pivotTables>
    <pivotTable tabId="3" name="PivotTable1"/>
    <pivotTable tabId="4" name="PivotTable13"/>
    <pivotTable tabId="4" name="PivotTable5"/>
    <pivotTable tabId="4" name="PivotTable6"/>
    <pivotTable tabId="4" name="PivotTable7"/>
    <pivotTable tabId="4" name="PivotTable8"/>
    <pivotTable tabId="3" name="PivotTable2"/>
    <pivotTable tabId="3" name="PivotTable3"/>
    <pivotTable tabId="3" name="PivotTable4"/>
  </pivotTables>
  <data>
    <tabular pivotCacheId="1291515971">
      <items count="43">
        <i x="22" s="1"/>
        <i x="11" s="1"/>
        <i x="39" s="1"/>
        <i x="3" s="1"/>
        <i x="34" s="1"/>
        <i x="17" s="1"/>
        <i x="0" s="1"/>
        <i x="27" s="1"/>
        <i x="4" s="1"/>
        <i x="13" s="1"/>
        <i x="41" s="1"/>
        <i x="33" s="1"/>
        <i x="35" s="1"/>
        <i x="7" s="1"/>
        <i x="12" s="1"/>
        <i x="38" s="1"/>
        <i x="42" s="1"/>
        <i x="8" s="1"/>
        <i x="21" s="1"/>
        <i x="32" s="1"/>
        <i x="19" s="1"/>
        <i x="24" s="1"/>
        <i x="10" s="1"/>
        <i x="26" s="1"/>
        <i x="36" s="1"/>
        <i x="18" s="1"/>
        <i x="25" s="1"/>
        <i x="29" s="1"/>
        <i x="15" s="1"/>
        <i x="37" s="1"/>
        <i x="16" s="1"/>
        <i x="40" s="1"/>
        <i x="28" s="1"/>
        <i x="9" s="1"/>
        <i x="20" s="1"/>
        <i x="30" s="1"/>
        <i x="5" s="1"/>
        <i x="23" s="1"/>
        <i x="14" s="1"/>
        <i x="6" s="1"/>
        <i x="2" s="1"/>
        <i x="1" s="1"/>
        <i x="3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Language" xr10:uid="{673C3F3B-7BEF-489B-8710-3BB2C456481F}" sourceName="Primary Language">
  <pivotTables>
    <pivotTable tabId="3" name="PivotTable1"/>
    <pivotTable tabId="4" name="PivotTable13"/>
    <pivotTable tabId="4" name="PivotTable5"/>
    <pivotTable tabId="4" name="PivotTable6"/>
    <pivotTable tabId="4" name="PivotTable7"/>
    <pivotTable tabId="4" name="PivotTable8"/>
    <pivotTable tabId="3" name="PivotTable2"/>
    <pivotTable tabId="3" name="PivotTable3"/>
    <pivotTable tabId="3" name="PivotTable4"/>
  </pivotTables>
  <data>
    <tabular pivotCacheId="1291515971">
      <items count="11">
        <i x="0" s="1"/>
        <i x="7" s="1"/>
        <i x="4" s="1"/>
        <i x="3" s="1"/>
        <i x="8" s="1"/>
        <i x="2" s="1"/>
        <i x="5" s="1"/>
        <i x="10" s="1"/>
        <i x="1" s="1"/>
        <i x="6"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F2B34C07-3705-43EA-8279-EDEE149B74D8}" sourceName="Primary Genre">
  <pivotTables>
    <pivotTable tabId="3" name="PivotTable1"/>
    <pivotTable tabId="4" name="PivotTable13"/>
    <pivotTable tabId="4" name="PivotTable5"/>
    <pivotTable tabId="4" name="PivotTable6"/>
    <pivotTable tabId="4" name="PivotTable7"/>
    <pivotTable tabId="4" name="PivotTable8"/>
    <pivotTable tabId="3" name="PivotTable2"/>
    <pivotTable tabId="3" name="PivotTable3"/>
    <pivotTable tabId="3" name="PivotTable4"/>
  </pivotTables>
  <data>
    <tabular pivotCacheId="1291515971">
      <items count="23">
        <i x="19" s="1"/>
        <i x="6" s="1"/>
        <i x="14" s="1"/>
        <i x="21" s="1"/>
        <i x="11" s="1"/>
        <i x="7" s="1"/>
        <i x="8" s="1"/>
        <i x="17" s="1"/>
        <i x="0" s="1"/>
        <i x="4" s="1"/>
        <i x="9" s="1"/>
        <i x="18" s="1"/>
        <i x="22" s="1"/>
        <i x="1" s="1"/>
        <i x="3" s="1"/>
        <i x="16" s="1"/>
        <i x="2" s="1"/>
        <i x="10" s="1"/>
        <i x="5" s="1"/>
        <i x="15" s="1"/>
        <i x="20" s="1"/>
        <i x="13" s="1"/>
        <i x="1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Type" xr10:uid="{76BB051B-B87E-46F5-8FBA-57B18339B02E}" sourceName=" Artist Type">
  <pivotTables>
    <pivotTable tabId="3" name="PivotTable1"/>
    <pivotTable tabId="4" name="PivotTable13"/>
    <pivotTable tabId="4" name="PivotTable5"/>
    <pivotTable tabId="4" name="PivotTable6"/>
    <pivotTable tabId="4" name="PivotTable7"/>
    <pivotTable tabId="4" name="PivotTable8"/>
    <pivotTable tabId="3" name="PivotTable2"/>
    <pivotTable tabId="3" name="PivotTable3"/>
    <pivotTable tabId="3" name="PivotTable4"/>
  </pivotTables>
  <data>
    <tabular pivotCacheId="1291515971">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but_Year" xr10:uid="{D5605BC5-82A9-431F-BB4E-4DF6D2710C3A}" sourceName="Debut Year">
  <pivotTables>
    <pivotTable tabId="3" name="PivotTable1"/>
    <pivotTable tabId="4" name="PivotTable13"/>
    <pivotTable tabId="4" name="PivotTable5"/>
    <pivotTable tabId="4" name="PivotTable6"/>
    <pivotTable tabId="4" name="PivotTable7"/>
    <pivotTable tabId="4" name="PivotTable8"/>
    <pivotTable tabId="3" name="PivotTable2"/>
    <pivotTable tabId="3" name="PivotTable3"/>
    <pivotTable tabId="3" name="PivotTable4"/>
  </pivotTables>
  <data>
    <tabular pivotCacheId="1291515971">
      <items count="61">
        <i x="48" s="1"/>
        <i x="32" s="1"/>
        <i x="49" s="1"/>
        <i x="60" s="1"/>
        <i x="28" s="1"/>
        <i x="57" s="1"/>
        <i x="30" s="1"/>
        <i x="56" s="1"/>
        <i x="40" s="1"/>
        <i x="50" s="1"/>
        <i x="35" s="1"/>
        <i x="53" s="1"/>
        <i x="47" s="1"/>
        <i x="23" s="1"/>
        <i x="39" s="1"/>
        <i x="55" s="1"/>
        <i x="59" s="1"/>
        <i x="31" s="1"/>
        <i x="54" s="1"/>
        <i x="58" s="1"/>
        <i x="38" s="1"/>
        <i x="36" s="1"/>
        <i x="33" s="1"/>
        <i x="46" s="1"/>
        <i x="52" s="1"/>
        <i x="51" s="1"/>
        <i x="42" s="1"/>
        <i x="12" s="1"/>
        <i x="13" s="1"/>
        <i x="41" s="1"/>
        <i x="34" s="1"/>
        <i x="37" s="1"/>
        <i x="29" s="1"/>
        <i x="5" s="1"/>
        <i x="15" s="1"/>
        <i x="43" s="1"/>
        <i x="10" s="1"/>
        <i x="21" s="1"/>
        <i x="25" s="1"/>
        <i x="18" s="1"/>
        <i x="20" s="1"/>
        <i x="3" s="1"/>
        <i x="6" s="1"/>
        <i x="0" s="1"/>
        <i x="11" s="1"/>
        <i x="16" s="1"/>
        <i x="2" s="1"/>
        <i x="8" s="1"/>
        <i x="4" s="1"/>
        <i x="9" s="1"/>
        <i x="1" s="1"/>
        <i x="14" s="1"/>
        <i x="7" s="1"/>
        <i x="19" s="1"/>
        <i x="17" s="1"/>
        <i x="26" s="1"/>
        <i x="27" s="1"/>
        <i x="22" s="1"/>
        <i x="24" s="1"/>
        <i x="45"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Name" xr10:uid="{EA7EED7F-734E-4BB0-B2B6-8414277A6486}" cache="Slicer_Artist_Name" caption="Artist Name" style="Slicer Style 6" rowHeight="241300"/>
  <slicer name="Gender" xr10:uid="{78E47A7A-D4F8-4861-BFD0-4C63E2961DC1}" cache="Slicer_Gender" caption="Gender" style="Slicer Style 6" rowHeight="241300"/>
  <slicer name="Country of Origin" xr10:uid="{0EFF9ECA-CF91-4178-BD3A-36D9E67CD9EE}" cache="Slicer_Country_of_Origin" caption="Country of Origin" style="Slicer Style 6" rowHeight="241300"/>
  <slicer name="Primary Language" xr10:uid="{5B1F83AB-00D1-4602-BA08-3BE53E76868B}" cache="Slicer_Primary_Language" caption="Primary Language" style="Slicer Style 6" rowHeight="241300"/>
  <slicer name="Primary Genre" xr10:uid="{33D8E3BB-BD8C-4722-9BB1-ED49F001984B}" cache="Slicer_Primary_Genre" caption="Primary Genre" style="Slicer Style 6" rowHeight="241300"/>
  <slicer name=" Artist Type" xr10:uid="{9FEE480A-0553-4781-A883-1BE056AF8792}" cache="Slicer_Artist_Type" caption=" Artist Type" style="Slicer Style 6" rowHeight="241300"/>
  <slicer name="Debut Year" xr10:uid="{7D73FA3E-F5C6-48D1-BB59-ECDE3B78B4B5}" cache="Slicer_Debut_Year" caption="Debut Year" style="Slicer Style 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 Name 1" xr10:uid="{FFC66704-06BC-43F7-B6DF-9C344508138A}" cache="Slicer_Artist_Name" caption="Artist Name" startItem="85" style="Slicer Style 6" rowHeight="640080"/>
  <slicer name="Gender 1" xr10:uid="{36818B22-8532-4740-A183-E01E32FBDDF4}" cache="Slicer_Gender" caption="Gender" columnCount="3" style="Slicer Style 6" rowHeight="731520"/>
  <slicer name="Country of Origin 1" xr10:uid="{98F81A87-A503-4E0C-80BC-6D85C514102C}" cache="Slicer_Country_of_Origin" caption="Country of Origin" style="Slicer Style 6" rowHeight="548640"/>
  <slicer name="Primary Language 1" xr10:uid="{B666A69D-5AFF-4745-B509-B824ABE6A5B6}" cache="Slicer_Primary_Language" caption="Primary Language" style="Slicer Style 6" rowHeight="548640"/>
  <slicer name="Primary Genre 1" xr10:uid="{7876A308-7976-49DE-A2CC-59A41CCE47E8}" cache="Slicer_Primary_Genre" caption="Primary Genre" style="Slicer Style 6" rowHeight="457200"/>
  <slicer name=" Artist Type 1" xr10:uid="{94FEB7C2-FFBE-4AE0-832F-ACDA850AB681}" cache="Slicer_Artist_Type" caption=" Artist Type" columnCount="2" style="Slicer Style 6" rowHeight="457200"/>
  <slicer name="Debut Year 1" xr10:uid="{1BA2B19B-D405-42A3-AE6E-649F78249348}" cache="Slicer_Debut_Year" caption="Debut Year" startItem="18" style="Slicer Style 6"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DC5672-D323-4675-A9A0-9713B0E0C391}" name="row" displayName="row" ref="A1:N501" tableType="queryTable" totalsRowShown="0">
  <autoFilter ref="A1:N501" xr:uid="{B6DC5672-D323-4675-A9A0-9713B0E0C391}"/>
  <tableColumns count="14">
    <tableColumn id="1" xr3:uid="{DAF43CB7-5A3B-44C0-AA60-9EE377628CDB}" uniqueName="1" name="Artist Name" queryTableFieldId="1" dataDxfId="19"/>
    <tableColumn id="2" xr3:uid="{63223873-94E8-4A18-BD2B-4ABC50AD67DC}" uniqueName="2" name="Gender" queryTableFieldId="2" dataDxfId="18"/>
    <tableColumn id="3" xr3:uid="{A1B3BD18-654F-42B1-991D-612178462C7F}" uniqueName="3" name="Country of Origin" queryTableFieldId="3" dataDxfId="17"/>
    <tableColumn id="4" xr3:uid="{B9D84A94-A794-4DA3-9A6D-D6B4D0686477}" uniqueName="4" name="Primary Language" queryTableFieldId="4" dataDxfId="16"/>
    <tableColumn id="5" xr3:uid="{65FCE47C-224F-48AC-9B33-E368A750BDEC}" uniqueName="5" name="Primary Genre" queryTableFieldId="5" dataDxfId="15"/>
    <tableColumn id="6" xr3:uid="{7A5D309E-AE1A-4B97-949B-C94B68637A14}" uniqueName="6" name=" Artist Type" queryTableFieldId="6" dataDxfId="14"/>
    <tableColumn id="7" xr3:uid="{0A478879-59CA-4B70-BEAB-442B4149724C}" uniqueName="7" name="Debut Year" queryTableFieldId="7"/>
    <tableColumn id="8" xr3:uid="{B98DF6F1-62CD-4390-922D-961C044DD8FA}" uniqueName="8" name="Total Streams (in millions)" queryTableFieldId="8"/>
    <tableColumn id="9" xr3:uid="{B431209D-EBF8-45D3-9DBB-830F1B99B555}" uniqueName="9" name="Lead Streams (in millions)" queryTableFieldId="9"/>
    <tableColumn id="10" xr3:uid="{A0A60520-17F7-4705-9F2F-1F42B35A35FD}" uniqueName="10" name="Feature Streams (in millions)" queryTableFieldId="10"/>
    <tableColumn id="11" xr3:uid="{1E95BB36-914A-4E96-AD27-86C99414534F}" uniqueName="11" name="Solo Streams (in millions)" queryTableFieldId="11"/>
    <tableColumn id="12" xr3:uid="{EE0A63D2-7FE8-4878-9720-29E5C20F11D8}" uniqueName="12" name="% of Solo Streams" queryTableFieldId="12"/>
    <tableColumn id="13" xr3:uid="{2BA77306-473A-4374-8A3F-C199D56A2B87}" uniqueName="13" name="Collaborative Streams (in millions)" queryTableFieldId="13"/>
    <tableColumn id="14" xr3:uid="{4D9B21BD-9E65-448D-9AC6-6E2754A8761E}" uniqueName="14" name="% of Collaborative Streams"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80E508-F4BF-4C2C-9926-E375DB278088}" name="Table1" displayName="Table1" ref="A1:N501" totalsRowShown="0">
  <autoFilter ref="A1:N501" xr:uid="{FC80E508-F4BF-4C2C-9926-E375DB278088}"/>
  <tableColumns count="14">
    <tableColumn id="1" xr3:uid="{217FF8A7-A576-4D04-AFE9-28028E1DC0DE}" name="Artist Name"/>
    <tableColumn id="2" xr3:uid="{F46BED42-DDF6-48B5-8B90-094357AC986F}" name="Sex"/>
    <tableColumn id="3" xr3:uid="{C67B9473-E4EE-4C61-A3A0-FCA6D42186CC}" name="Country of Origin"/>
    <tableColumn id="4" xr3:uid="{D05961FD-22EB-47F7-B834-899E2BCB9533}" name="Primary Language"/>
    <tableColumn id="5" xr3:uid="{D40559E3-6EFD-4048-A6E4-0B4A922ED5C5}" name="Primary Genre"/>
    <tableColumn id="6" xr3:uid="{CDEEA656-4B06-48F5-B842-2F205B2EF41C}" name=" Artist Type"/>
    <tableColumn id="7" xr3:uid="{EA91AA93-99A9-4346-BFDA-83AECA42F888}" name="Debut Year"/>
    <tableColumn id="8" xr3:uid="{FE15CA35-5818-4646-96E9-E4642BE109B3}" name="Total Streams (in millions)"/>
    <tableColumn id="9" xr3:uid="{BC9456E4-EFB3-49DB-BA68-1618454C3A2C}" name="Lead Streams (in millions)"/>
    <tableColumn id="10" xr3:uid="{B2EDD8C6-A42C-40CE-82A6-F88BE553A6B7}" name="Feature Streams (in millions)"/>
    <tableColumn id="11" xr3:uid="{EB17E812-BC8F-42EE-A752-572F54F85B8B}" name="Solo Streams (in millions)"/>
    <tableColumn id="12" xr3:uid="{DB241905-C468-40ED-9ACC-6F12E457B29D}" name="% of Solo Streams"/>
    <tableColumn id="13" xr3:uid="{B6FFB96C-877E-4BA7-8934-6CDEC2A0910F}" name="Collaborative Streams (in millions)"/>
    <tableColumn id="14" xr3:uid="{4E11CFA8-3E54-4D0C-B4BD-46C0386A83D5}" name="% of Collaborative Stream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D52F-0554-4082-A93E-FE65444C8187}">
  <dimension ref="A1:N501"/>
  <sheetViews>
    <sheetView workbookViewId="0"/>
  </sheetViews>
  <sheetFormatPr defaultRowHeight="14.5" x14ac:dyDescent="0.35"/>
  <cols>
    <col min="1" max="1" width="42.81640625" bestFit="1" customWidth="1"/>
    <col min="2" max="2" width="9.26953125" bestFit="1" customWidth="1"/>
    <col min="3" max="3" width="18.1796875" bestFit="1" customWidth="1"/>
    <col min="4" max="4" width="18" bestFit="1" customWidth="1"/>
    <col min="5" max="5" width="15.453125" bestFit="1" customWidth="1"/>
    <col min="6" max="6" width="12.6328125" bestFit="1" customWidth="1"/>
    <col min="7" max="7" width="12.453125" bestFit="1" customWidth="1"/>
    <col min="8" max="8" width="25.08984375" bestFit="1" customWidth="1"/>
    <col min="9" max="9" width="24.7265625" bestFit="1" customWidth="1"/>
    <col min="10" max="10" width="27.26953125" bestFit="1" customWidth="1"/>
    <col min="11" max="11" width="24.36328125" bestFit="1" customWidth="1"/>
    <col min="12" max="12" width="18.08984375" bestFit="1" customWidth="1"/>
    <col min="13" max="13" width="32.08984375" bestFit="1" customWidth="1"/>
    <col min="14" max="14" width="25.81640625" bestFit="1" customWidth="1"/>
  </cols>
  <sheetData>
    <row r="1" spans="1:14" x14ac:dyDescent="0.35">
      <c r="A1" t="s">
        <v>0</v>
      </c>
      <c r="B1" t="s">
        <v>596</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t="s">
        <v>18</v>
      </c>
      <c r="F2" t="s">
        <v>19</v>
      </c>
      <c r="G2">
        <v>2006</v>
      </c>
      <c r="H2">
        <v>137492</v>
      </c>
      <c r="I2">
        <v>94851</v>
      </c>
      <c r="J2">
        <v>42641</v>
      </c>
      <c r="K2">
        <v>53324</v>
      </c>
      <c r="L2">
        <v>39</v>
      </c>
      <c r="M2">
        <v>84168</v>
      </c>
      <c r="N2">
        <v>61</v>
      </c>
    </row>
    <row r="3" spans="1:14" x14ac:dyDescent="0.35">
      <c r="A3" t="s">
        <v>20</v>
      </c>
      <c r="B3" t="s">
        <v>21</v>
      </c>
      <c r="C3" t="s">
        <v>22</v>
      </c>
      <c r="D3" t="s">
        <v>17</v>
      </c>
      <c r="E3" t="s">
        <v>23</v>
      </c>
      <c r="F3" t="s">
        <v>19</v>
      </c>
      <c r="G3">
        <v>2006</v>
      </c>
      <c r="H3">
        <v>127861</v>
      </c>
      <c r="I3">
        <v>126177</v>
      </c>
      <c r="J3">
        <v>1684</v>
      </c>
      <c r="K3">
        <v>113422</v>
      </c>
      <c r="L3">
        <v>89</v>
      </c>
      <c r="M3">
        <v>14440</v>
      </c>
      <c r="N3">
        <v>11</v>
      </c>
    </row>
    <row r="4" spans="1:14" x14ac:dyDescent="0.35">
      <c r="A4" t="s">
        <v>24</v>
      </c>
      <c r="B4" t="s">
        <v>15</v>
      </c>
      <c r="C4" t="s">
        <v>22</v>
      </c>
      <c r="D4" t="s">
        <v>25</v>
      </c>
      <c r="E4" t="s">
        <v>26</v>
      </c>
      <c r="F4" t="s">
        <v>19</v>
      </c>
      <c r="G4">
        <v>2013</v>
      </c>
      <c r="H4">
        <v>125900</v>
      </c>
      <c r="I4">
        <v>82189</v>
      </c>
      <c r="J4">
        <v>43710</v>
      </c>
      <c r="K4">
        <v>48887</v>
      </c>
      <c r="L4">
        <v>39</v>
      </c>
      <c r="M4">
        <v>77013</v>
      </c>
      <c r="N4">
        <v>61</v>
      </c>
    </row>
    <row r="5" spans="1:14" x14ac:dyDescent="0.35">
      <c r="A5" t="s">
        <v>27</v>
      </c>
      <c r="B5" t="s">
        <v>15</v>
      </c>
      <c r="C5" t="s">
        <v>16</v>
      </c>
      <c r="D5" t="s">
        <v>17</v>
      </c>
      <c r="E5" t="s">
        <v>28</v>
      </c>
      <c r="F5" t="s">
        <v>19</v>
      </c>
      <c r="G5">
        <v>2009</v>
      </c>
      <c r="H5">
        <v>95703</v>
      </c>
      <c r="I5">
        <v>77189</v>
      </c>
      <c r="J5">
        <v>18514</v>
      </c>
      <c r="K5">
        <v>51020</v>
      </c>
      <c r="L5">
        <v>53</v>
      </c>
      <c r="M5">
        <v>44683</v>
      </c>
      <c r="N5">
        <v>47</v>
      </c>
    </row>
    <row r="6" spans="1:14" x14ac:dyDescent="0.35">
      <c r="A6" t="s">
        <v>29</v>
      </c>
      <c r="B6" t="s">
        <v>15</v>
      </c>
      <c r="C6" t="s">
        <v>16</v>
      </c>
      <c r="D6" t="s">
        <v>17</v>
      </c>
      <c r="E6" t="s">
        <v>23</v>
      </c>
      <c r="F6" t="s">
        <v>19</v>
      </c>
      <c r="G6">
        <v>2009</v>
      </c>
      <c r="H6">
        <v>78104</v>
      </c>
      <c r="I6">
        <v>48316</v>
      </c>
      <c r="J6">
        <v>29788</v>
      </c>
      <c r="K6">
        <v>29638</v>
      </c>
      <c r="L6">
        <v>38</v>
      </c>
      <c r="M6">
        <v>48466</v>
      </c>
      <c r="N6">
        <v>62</v>
      </c>
    </row>
    <row r="7" spans="1:14" x14ac:dyDescent="0.35">
      <c r="A7" t="s">
        <v>30</v>
      </c>
      <c r="B7" t="s">
        <v>21</v>
      </c>
      <c r="C7" t="s">
        <v>22</v>
      </c>
      <c r="D7" t="s">
        <v>17</v>
      </c>
      <c r="E7" t="s">
        <v>23</v>
      </c>
      <c r="F7" t="s">
        <v>19</v>
      </c>
      <c r="G7">
        <v>2013</v>
      </c>
      <c r="H7">
        <v>68299</v>
      </c>
      <c r="I7">
        <v>57098</v>
      </c>
      <c r="J7">
        <v>11201</v>
      </c>
      <c r="K7">
        <v>41616</v>
      </c>
      <c r="L7">
        <v>61</v>
      </c>
      <c r="M7">
        <v>26683</v>
      </c>
      <c r="N7">
        <v>39</v>
      </c>
    </row>
    <row r="8" spans="1:14" x14ac:dyDescent="0.35">
      <c r="A8" t="s">
        <v>31</v>
      </c>
      <c r="B8" t="s">
        <v>15</v>
      </c>
      <c r="C8" t="s">
        <v>22</v>
      </c>
      <c r="D8" t="s">
        <v>17</v>
      </c>
      <c r="E8" t="s">
        <v>18</v>
      </c>
      <c r="F8" t="s">
        <v>19</v>
      </c>
      <c r="G8">
        <v>2013</v>
      </c>
      <c r="H8">
        <v>65350</v>
      </c>
      <c r="I8">
        <v>35339</v>
      </c>
      <c r="J8">
        <v>30027</v>
      </c>
      <c r="K8">
        <v>25310</v>
      </c>
      <c r="L8">
        <v>39</v>
      </c>
      <c r="M8">
        <v>40040</v>
      </c>
      <c r="N8">
        <v>61</v>
      </c>
    </row>
    <row r="9" spans="1:14" x14ac:dyDescent="0.35">
      <c r="A9" t="s">
        <v>32</v>
      </c>
      <c r="B9" t="s">
        <v>15</v>
      </c>
      <c r="C9" t="s">
        <v>22</v>
      </c>
      <c r="D9" t="s">
        <v>17</v>
      </c>
      <c r="E9" t="s">
        <v>18</v>
      </c>
      <c r="F9" t="s">
        <v>19</v>
      </c>
      <c r="G9">
        <v>2004</v>
      </c>
      <c r="H9">
        <v>65143</v>
      </c>
      <c r="I9">
        <v>46558</v>
      </c>
      <c r="J9">
        <v>18584</v>
      </c>
      <c r="K9">
        <v>28473</v>
      </c>
      <c r="L9">
        <v>44</v>
      </c>
      <c r="M9">
        <v>36670</v>
      </c>
      <c r="N9">
        <v>56</v>
      </c>
    </row>
    <row r="10" spans="1:14" x14ac:dyDescent="0.35">
      <c r="A10" t="s">
        <v>33</v>
      </c>
      <c r="B10" t="s">
        <v>15</v>
      </c>
      <c r="C10" t="s">
        <v>34</v>
      </c>
      <c r="D10" t="s">
        <v>17</v>
      </c>
      <c r="E10" t="s">
        <v>23</v>
      </c>
      <c r="F10" t="s">
        <v>19</v>
      </c>
      <c r="G10">
        <v>2011</v>
      </c>
      <c r="H10">
        <v>64657</v>
      </c>
      <c r="I10">
        <v>57704</v>
      </c>
      <c r="J10">
        <v>6968</v>
      </c>
      <c r="K10">
        <v>46700</v>
      </c>
      <c r="L10">
        <v>72</v>
      </c>
      <c r="M10">
        <v>17957</v>
      </c>
      <c r="N10">
        <v>28</v>
      </c>
    </row>
    <row r="11" spans="1:14" x14ac:dyDescent="0.35">
      <c r="A11" t="s">
        <v>35</v>
      </c>
      <c r="B11" t="s">
        <v>15</v>
      </c>
      <c r="C11" t="s">
        <v>22</v>
      </c>
      <c r="D11" t="s">
        <v>17</v>
      </c>
      <c r="E11" t="s">
        <v>18</v>
      </c>
      <c r="F11" t="s">
        <v>19</v>
      </c>
      <c r="G11">
        <v>1996</v>
      </c>
      <c r="H11">
        <v>64549</v>
      </c>
      <c r="I11">
        <v>54467</v>
      </c>
      <c r="J11">
        <v>10101</v>
      </c>
      <c r="K11">
        <v>32940</v>
      </c>
      <c r="L11">
        <v>51</v>
      </c>
      <c r="M11">
        <v>31609</v>
      </c>
      <c r="N11">
        <v>49</v>
      </c>
    </row>
    <row r="12" spans="1:14" x14ac:dyDescent="0.35">
      <c r="A12" t="s">
        <v>36</v>
      </c>
      <c r="B12" t="s">
        <v>21</v>
      </c>
      <c r="C12" t="s">
        <v>37</v>
      </c>
      <c r="D12" t="s">
        <v>17</v>
      </c>
      <c r="E12" t="s">
        <v>23</v>
      </c>
      <c r="F12" t="s">
        <v>19</v>
      </c>
      <c r="G12">
        <v>2005</v>
      </c>
      <c r="H12">
        <v>60671</v>
      </c>
      <c r="I12">
        <v>44824</v>
      </c>
      <c r="J12">
        <v>15846</v>
      </c>
      <c r="K12">
        <v>30262</v>
      </c>
      <c r="L12">
        <v>50</v>
      </c>
      <c r="M12">
        <v>30409</v>
      </c>
      <c r="N12">
        <v>50</v>
      </c>
    </row>
    <row r="13" spans="1:14" x14ac:dyDescent="0.35">
      <c r="A13" t="s">
        <v>38</v>
      </c>
      <c r="B13" t="s">
        <v>21</v>
      </c>
      <c r="C13" t="s">
        <v>22</v>
      </c>
      <c r="D13" t="s">
        <v>17</v>
      </c>
      <c r="E13" t="s">
        <v>23</v>
      </c>
      <c r="F13" t="s">
        <v>19</v>
      </c>
      <c r="G13">
        <v>2015</v>
      </c>
      <c r="H13">
        <v>58050</v>
      </c>
      <c r="I13">
        <v>57160</v>
      </c>
      <c r="J13">
        <v>889</v>
      </c>
      <c r="K13">
        <v>51568</v>
      </c>
      <c r="L13">
        <v>89</v>
      </c>
      <c r="M13">
        <v>6482</v>
      </c>
      <c r="N13">
        <v>11</v>
      </c>
    </row>
    <row r="14" spans="1:14" x14ac:dyDescent="0.35">
      <c r="A14" t="s">
        <v>39</v>
      </c>
      <c r="B14" t="s">
        <v>15</v>
      </c>
      <c r="C14" t="s">
        <v>22</v>
      </c>
      <c r="D14" t="s">
        <v>17</v>
      </c>
      <c r="E14" t="s">
        <v>23</v>
      </c>
      <c r="F14" t="s">
        <v>19</v>
      </c>
      <c r="G14">
        <v>2010</v>
      </c>
      <c r="H14">
        <v>56727</v>
      </c>
      <c r="I14">
        <v>40714</v>
      </c>
      <c r="J14">
        <v>16013</v>
      </c>
      <c r="K14">
        <v>33618</v>
      </c>
      <c r="L14">
        <v>59</v>
      </c>
      <c r="M14">
        <v>23109</v>
      </c>
      <c r="N14">
        <v>41</v>
      </c>
    </row>
    <row r="15" spans="1:14" x14ac:dyDescent="0.35">
      <c r="A15" t="s">
        <v>40</v>
      </c>
      <c r="B15" t="s">
        <v>15</v>
      </c>
      <c r="C15" t="s">
        <v>22</v>
      </c>
      <c r="D15" t="s">
        <v>17</v>
      </c>
      <c r="E15" t="s">
        <v>18</v>
      </c>
      <c r="F15" t="s">
        <v>19</v>
      </c>
      <c r="G15">
        <v>2009</v>
      </c>
      <c r="H15">
        <v>56460</v>
      </c>
      <c r="I15">
        <v>40752</v>
      </c>
      <c r="J15">
        <v>15725</v>
      </c>
      <c r="K15">
        <v>23404</v>
      </c>
      <c r="L15">
        <v>41</v>
      </c>
      <c r="M15">
        <v>33056</v>
      </c>
      <c r="N15">
        <v>59</v>
      </c>
    </row>
    <row r="16" spans="1:14" x14ac:dyDescent="0.35">
      <c r="A16" t="s">
        <v>41</v>
      </c>
      <c r="B16" t="s">
        <v>15</v>
      </c>
      <c r="C16" t="s">
        <v>22</v>
      </c>
      <c r="D16" t="s">
        <v>17</v>
      </c>
      <c r="E16" t="s">
        <v>23</v>
      </c>
      <c r="F16" t="s">
        <v>19</v>
      </c>
      <c r="G16">
        <v>2011</v>
      </c>
      <c r="H16">
        <v>55028</v>
      </c>
      <c r="I16">
        <v>48806</v>
      </c>
      <c r="J16">
        <v>6236</v>
      </c>
      <c r="K16">
        <v>25419</v>
      </c>
      <c r="L16">
        <v>46</v>
      </c>
      <c r="M16">
        <v>29609</v>
      </c>
      <c r="N16">
        <v>54</v>
      </c>
    </row>
    <row r="17" spans="1:14" x14ac:dyDescent="0.35">
      <c r="A17" t="s">
        <v>42</v>
      </c>
      <c r="B17" t="s">
        <v>15</v>
      </c>
      <c r="C17" t="s">
        <v>43</v>
      </c>
      <c r="D17" t="s">
        <v>25</v>
      </c>
      <c r="E17" t="s">
        <v>26</v>
      </c>
      <c r="F17" t="s">
        <v>19</v>
      </c>
      <c r="G17">
        <v>2004</v>
      </c>
      <c r="H17">
        <v>54649</v>
      </c>
      <c r="I17">
        <v>25333</v>
      </c>
      <c r="J17">
        <v>29334</v>
      </c>
      <c r="K17">
        <v>7844</v>
      </c>
      <c r="L17">
        <v>14</v>
      </c>
      <c r="M17">
        <v>46805</v>
      </c>
      <c r="N17">
        <v>86</v>
      </c>
    </row>
    <row r="18" spans="1:14" x14ac:dyDescent="0.35">
      <c r="A18" t="s">
        <v>44</v>
      </c>
      <c r="B18" t="s">
        <v>15</v>
      </c>
      <c r="C18" t="s">
        <v>22</v>
      </c>
      <c r="D18" t="s">
        <v>17</v>
      </c>
      <c r="E18" t="s">
        <v>18</v>
      </c>
      <c r="F18" t="s">
        <v>19</v>
      </c>
      <c r="G18">
        <v>2010</v>
      </c>
      <c r="H18">
        <v>53952</v>
      </c>
      <c r="I18">
        <v>27879</v>
      </c>
      <c r="J18">
        <v>26072</v>
      </c>
      <c r="K18">
        <v>12648</v>
      </c>
      <c r="L18">
        <v>23</v>
      </c>
      <c r="M18">
        <v>41304</v>
      </c>
      <c r="N18">
        <v>77</v>
      </c>
    </row>
    <row r="19" spans="1:14" x14ac:dyDescent="0.35">
      <c r="A19" t="s">
        <v>45</v>
      </c>
      <c r="B19" t="s">
        <v>15</v>
      </c>
      <c r="C19" t="s">
        <v>46</v>
      </c>
      <c r="D19" t="s">
        <v>47</v>
      </c>
      <c r="E19" t="s">
        <v>48</v>
      </c>
      <c r="F19" t="s">
        <v>49</v>
      </c>
      <c r="G19">
        <v>2013</v>
      </c>
      <c r="H19">
        <v>53309</v>
      </c>
      <c r="I19">
        <v>47970</v>
      </c>
      <c r="J19">
        <v>5339</v>
      </c>
      <c r="K19">
        <v>44114</v>
      </c>
      <c r="L19">
        <v>83</v>
      </c>
      <c r="M19">
        <v>9194</v>
      </c>
      <c r="N19">
        <v>17</v>
      </c>
    </row>
    <row r="20" spans="1:14" x14ac:dyDescent="0.35">
      <c r="A20" t="s">
        <v>50</v>
      </c>
      <c r="B20" t="s">
        <v>15</v>
      </c>
      <c r="C20" t="s">
        <v>22</v>
      </c>
      <c r="D20" t="s">
        <v>25</v>
      </c>
      <c r="E20" t="s">
        <v>26</v>
      </c>
      <c r="F20" t="s">
        <v>19</v>
      </c>
      <c r="G20">
        <v>2012</v>
      </c>
      <c r="H20">
        <v>47649</v>
      </c>
      <c r="I20">
        <v>20247</v>
      </c>
      <c r="J20">
        <v>27419</v>
      </c>
      <c r="K20">
        <v>8621</v>
      </c>
      <c r="L20">
        <v>18</v>
      </c>
      <c r="M20">
        <v>39028</v>
      </c>
      <c r="N20">
        <v>82</v>
      </c>
    </row>
    <row r="21" spans="1:14" x14ac:dyDescent="0.35">
      <c r="A21" t="s">
        <v>51</v>
      </c>
      <c r="B21" t="s">
        <v>15</v>
      </c>
      <c r="C21" t="s">
        <v>34</v>
      </c>
      <c r="D21" t="s">
        <v>17</v>
      </c>
      <c r="E21" t="s">
        <v>52</v>
      </c>
      <c r="F21" t="s">
        <v>49</v>
      </c>
      <c r="G21">
        <v>1999</v>
      </c>
      <c r="H21">
        <v>46720</v>
      </c>
      <c r="I21">
        <v>42837</v>
      </c>
      <c r="J21">
        <v>3901</v>
      </c>
      <c r="K21">
        <v>38535</v>
      </c>
      <c r="L21">
        <v>82</v>
      </c>
      <c r="M21">
        <v>8185</v>
      </c>
      <c r="N21">
        <v>18</v>
      </c>
    </row>
    <row r="22" spans="1:14" x14ac:dyDescent="0.35">
      <c r="A22" t="s">
        <v>53</v>
      </c>
      <c r="B22" t="s">
        <v>15</v>
      </c>
      <c r="C22" t="s">
        <v>22</v>
      </c>
      <c r="D22" t="s">
        <v>17</v>
      </c>
      <c r="E22" t="s">
        <v>18</v>
      </c>
      <c r="F22" t="s">
        <v>19</v>
      </c>
      <c r="G22">
        <v>2015</v>
      </c>
      <c r="H22">
        <v>46276</v>
      </c>
      <c r="I22">
        <v>34132</v>
      </c>
      <c r="J22">
        <v>12155</v>
      </c>
      <c r="K22">
        <v>26676</v>
      </c>
      <c r="L22">
        <v>58</v>
      </c>
      <c r="M22">
        <v>19601</v>
      </c>
      <c r="N22">
        <v>42</v>
      </c>
    </row>
    <row r="23" spans="1:14" x14ac:dyDescent="0.35">
      <c r="A23" t="s">
        <v>54</v>
      </c>
      <c r="B23" t="s">
        <v>15</v>
      </c>
      <c r="C23" t="s">
        <v>22</v>
      </c>
      <c r="D23" t="s">
        <v>17</v>
      </c>
      <c r="E23" t="s">
        <v>28</v>
      </c>
      <c r="F23" t="s">
        <v>19</v>
      </c>
      <c r="G23">
        <v>2005</v>
      </c>
      <c r="H23">
        <v>43964</v>
      </c>
      <c r="I23">
        <v>24456</v>
      </c>
      <c r="J23">
        <v>19524</v>
      </c>
      <c r="K23">
        <v>12219</v>
      </c>
      <c r="L23">
        <v>28</v>
      </c>
      <c r="M23">
        <v>31744</v>
      </c>
      <c r="N23">
        <v>72</v>
      </c>
    </row>
    <row r="24" spans="1:14" x14ac:dyDescent="0.35">
      <c r="A24" t="s">
        <v>55</v>
      </c>
      <c r="B24" t="s">
        <v>21</v>
      </c>
      <c r="C24" t="s">
        <v>56</v>
      </c>
      <c r="D24" t="s">
        <v>17</v>
      </c>
      <c r="E24" t="s">
        <v>18</v>
      </c>
      <c r="F24" t="s">
        <v>19</v>
      </c>
      <c r="G24">
        <v>2007</v>
      </c>
      <c r="H24">
        <v>43330</v>
      </c>
      <c r="I24">
        <v>16316</v>
      </c>
      <c r="J24">
        <v>27028</v>
      </c>
      <c r="K24">
        <v>9618</v>
      </c>
      <c r="L24">
        <v>22</v>
      </c>
      <c r="M24">
        <v>33712</v>
      </c>
      <c r="N24">
        <v>78</v>
      </c>
    </row>
    <row r="25" spans="1:14" x14ac:dyDescent="0.35">
      <c r="A25" t="s">
        <v>57</v>
      </c>
      <c r="B25" t="s">
        <v>21</v>
      </c>
      <c r="C25" t="s">
        <v>22</v>
      </c>
      <c r="D25" t="s">
        <v>17</v>
      </c>
      <c r="E25" t="s">
        <v>58</v>
      </c>
      <c r="F25" t="s">
        <v>19</v>
      </c>
      <c r="G25">
        <v>2010</v>
      </c>
      <c r="H25">
        <v>42464</v>
      </c>
      <c r="I25">
        <v>38477</v>
      </c>
      <c r="J25">
        <v>3987</v>
      </c>
      <c r="K25">
        <v>34578</v>
      </c>
      <c r="L25">
        <v>81</v>
      </c>
      <c r="M25">
        <v>7886</v>
      </c>
      <c r="N25">
        <v>19</v>
      </c>
    </row>
    <row r="26" spans="1:14" x14ac:dyDescent="0.35">
      <c r="A26" t="s">
        <v>59</v>
      </c>
      <c r="B26" t="s">
        <v>15</v>
      </c>
      <c r="C26" t="s">
        <v>60</v>
      </c>
      <c r="D26" t="s">
        <v>17</v>
      </c>
      <c r="E26" t="s">
        <v>61</v>
      </c>
      <c r="F26" t="s">
        <v>19</v>
      </c>
      <c r="G26">
        <v>1990</v>
      </c>
      <c r="H26">
        <v>42060</v>
      </c>
      <c r="I26">
        <v>30751</v>
      </c>
      <c r="J26">
        <v>11325</v>
      </c>
      <c r="K26">
        <v>407</v>
      </c>
      <c r="L26">
        <v>1</v>
      </c>
      <c r="M26">
        <v>41653</v>
      </c>
      <c r="N26">
        <v>99</v>
      </c>
    </row>
    <row r="27" spans="1:14" x14ac:dyDescent="0.35">
      <c r="A27" t="s">
        <v>62</v>
      </c>
      <c r="B27" t="s">
        <v>21</v>
      </c>
      <c r="C27" t="s">
        <v>34</v>
      </c>
      <c r="D27" t="s">
        <v>17</v>
      </c>
      <c r="E27" t="s">
        <v>23</v>
      </c>
      <c r="F27" t="s">
        <v>19</v>
      </c>
      <c r="G27">
        <v>2015</v>
      </c>
      <c r="H27">
        <v>41944</v>
      </c>
      <c r="I27">
        <v>28270</v>
      </c>
      <c r="J27">
        <v>13688</v>
      </c>
      <c r="K27">
        <v>23134</v>
      </c>
      <c r="L27">
        <v>55</v>
      </c>
      <c r="M27">
        <v>18810</v>
      </c>
      <c r="N27">
        <v>45</v>
      </c>
    </row>
    <row r="28" spans="1:14" x14ac:dyDescent="0.35">
      <c r="A28" t="s">
        <v>63</v>
      </c>
      <c r="B28" t="s">
        <v>15</v>
      </c>
      <c r="C28" t="s">
        <v>22</v>
      </c>
      <c r="D28" t="s">
        <v>25</v>
      </c>
      <c r="E28" t="s">
        <v>26</v>
      </c>
      <c r="F28" t="s">
        <v>19</v>
      </c>
      <c r="G28">
        <v>1991</v>
      </c>
      <c r="H28">
        <v>41405</v>
      </c>
      <c r="I28">
        <v>19772</v>
      </c>
      <c r="J28">
        <v>21650</v>
      </c>
      <c r="K28">
        <v>10693</v>
      </c>
      <c r="L28">
        <v>26</v>
      </c>
      <c r="M28">
        <v>30713</v>
      </c>
      <c r="N28">
        <v>74</v>
      </c>
    </row>
    <row r="29" spans="1:14" x14ac:dyDescent="0.35">
      <c r="A29" t="s">
        <v>64</v>
      </c>
      <c r="B29" t="s">
        <v>15</v>
      </c>
      <c r="C29" t="s">
        <v>22</v>
      </c>
      <c r="D29" t="s">
        <v>25</v>
      </c>
      <c r="E29" t="s">
        <v>26</v>
      </c>
      <c r="F29" t="s">
        <v>19</v>
      </c>
      <c r="G29">
        <v>2014</v>
      </c>
      <c r="H29">
        <v>40739</v>
      </c>
      <c r="I29">
        <v>24898</v>
      </c>
      <c r="J29">
        <v>15858</v>
      </c>
      <c r="K29">
        <v>10432</v>
      </c>
      <c r="L29">
        <v>26</v>
      </c>
      <c r="M29">
        <v>30306</v>
      </c>
      <c r="N29">
        <v>74</v>
      </c>
    </row>
    <row r="30" spans="1:14" x14ac:dyDescent="0.35">
      <c r="A30" t="s">
        <v>65</v>
      </c>
      <c r="B30" t="s">
        <v>15</v>
      </c>
      <c r="C30" t="s">
        <v>22</v>
      </c>
      <c r="D30" t="s">
        <v>25</v>
      </c>
      <c r="E30" t="s">
        <v>26</v>
      </c>
      <c r="F30" t="s">
        <v>19</v>
      </c>
      <c r="G30">
        <v>2011</v>
      </c>
      <c r="H30">
        <v>40453</v>
      </c>
      <c r="I30">
        <v>18356</v>
      </c>
      <c r="J30">
        <v>22119</v>
      </c>
      <c r="K30">
        <v>6177</v>
      </c>
      <c r="L30">
        <v>15</v>
      </c>
      <c r="M30">
        <v>34276</v>
      </c>
      <c r="N30">
        <v>85</v>
      </c>
    </row>
    <row r="31" spans="1:14" x14ac:dyDescent="0.35">
      <c r="A31" t="s">
        <v>66</v>
      </c>
      <c r="B31" t="s">
        <v>15</v>
      </c>
      <c r="C31" t="s">
        <v>22</v>
      </c>
      <c r="D31" t="s">
        <v>17</v>
      </c>
      <c r="E31" t="s">
        <v>18</v>
      </c>
      <c r="F31" t="s">
        <v>19</v>
      </c>
      <c r="G31">
        <v>2013</v>
      </c>
      <c r="H31">
        <v>40411</v>
      </c>
      <c r="I31">
        <v>34420</v>
      </c>
      <c r="J31">
        <v>5999</v>
      </c>
      <c r="K31">
        <v>28138</v>
      </c>
      <c r="L31">
        <v>70</v>
      </c>
      <c r="M31">
        <v>12273</v>
      </c>
      <c r="N31">
        <v>30</v>
      </c>
    </row>
    <row r="32" spans="1:14" x14ac:dyDescent="0.35">
      <c r="A32" t="s">
        <v>67</v>
      </c>
      <c r="B32" t="s">
        <v>15</v>
      </c>
      <c r="C32" t="s">
        <v>22</v>
      </c>
      <c r="D32" t="s">
        <v>17</v>
      </c>
      <c r="E32" t="s">
        <v>52</v>
      </c>
      <c r="F32" t="s">
        <v>49</v>
      </c>
      <c r="G32">
        <v>2012</v>
      </c>
      <c r="H32">
        <v>40280</v>
      </c>
      <c r="I32">
        <v>38007</v>
      </c>
      <c r="J32">
        <v>2283</v>
      </c>
      <c r="K32">
        <v>33880</v>
      </c>
      <c r="L32">
        <v>84</v>
      </c>
      <c r="M32">
        <v>6399</v>
      </c>
      <c r="N32">
        <v>16</v>
      </c>
    </row>
    <row r="33" spans="1:14" x14ac:dyDescent="0.35">
      <c r="A33" t="s">
        <v>68</v>
      </c>
      <c r="B33" t="s">
        <v>15</v>
      </c>
      <c r="C33" t="s">
        <v>22</v>
      </c>
      <c r="D33" t="s">
        <v>17</v>
      </c>
      <c r="E33" t="s">
        <v>18</v>
      </c>
      <c r="F33" t="s">
        <v>19</v>
      </c>
      <c r="G33">
        <v>1997</v>
      </c>
      <c r="H33">
        <v>40148</v>
      </c>
      <c r="I33">
        <v>15870</v>
      </c>
      <c r="J33">
        <v>24280</v>
      </c>
      <c r="K33">
        <v>4051</v>
      </c>
      <c r="L33">
        <v>10</v>
      </c>
      <c r="M33">
        <v>36097</v>
      </c>
      <c r="N33">
        <v>90</v>
      </c>
    </row>
    <row r="34" spans="1:14" x14ac:dyDescent="0.35">
      <c r="A34" t="s">
        <v>69</v>
      </c>
      <c r="B34" t="s">
        <v>15</v>
      </c>
      <c r="C34" t="s">
        <v>34</v>
      </c>
      <c r="D34" t="s">
        <v>17</v>
      </c>
      <c r="E34" t="s">
        <v>18</v>
      </c>
      <c r="F34" t="s">
        <v>19</v>
      </c>
      <c r="G34">
        <v>2014</v>
      </c>
      <c r="H34">
        <v>39024</v>
      </c>
      <c r="I34">
        <v>15878</v>
      </c>
      <c r="J34">
        <v>23156</v>
      </c>
      <c r="K34">
        <v>7883</v>
      </c>
      <c r="L34">
        <v>20</v>
      </c>
      <c r="M34">
        <v>31141</v>
      </c>
      <c r="N34">
        <v>80</v>
      </c>
    </row>
    <row r="35" spans="1:14" x14ac:dyDescent="0.35">
      <c r="A35" t="s">
        <v>70</v>
      </c>
      <c r="B35" t="s">
        <v>21</v>
      </c>
      <c r="C35" t="s">
        <v>22</v>
      </c>
      <c r="D35" t="s">
        <v>17</v>
      </c>
      <c r="E35" t="s">
        <v>28</v>
      </c>
      <c r="F35" t="s">
        <v>19</v>
      </c>
      <c r="G35">
        <v>2012</v>
      </c>
      <c r="H35">
        <v>38880</v>
      </c>
      <c r="I35">
        <v>25268</v>
      </c>
      <c r="J35">
        <v>13627</v>
      </c>
      <c r="K35">
        <v>19805</v>
      </c>
      <c r="L35">
        <v>51</v>
      </c>
      <c r="M35">
        <v>19075</v>
      </c>
      <c r="N35">
        <v>49</v>
      </c>
    </row>
    <row r="36" spans="1:14" x14ac:dyDescent="0.35">
      <c r="A36" t="s">
        <v>71</v>
      </c>
      <c r="B36" t="s">
        <v>15</v>
      </c>
      <c r="C36" t="s">
        <v>72</v>
      </c>
      <c r="D36" t="s">
        <v>73</v>
      </c>
      <c r="E36" t="s">
        <v>74</v>
      </c>
      <c r="F36" t="s">
        <v>19</v>
      </c>
      <c r="G36">
        <v>2011</v>
      </c>
      <c r="H36">
        <v>37688</v>
      </c>
      <c r="I36">
        <v>13330</v>
      </c>
      <c r="J36">
        <v>24385</v>
      </c>
      <c r="K36">
        <v>4537</v>
      </c>
      <c r="L36">
        <v>12</v>
      </c>
      <c r="M36">
        <v>33150</v>
      </c>
      <c r="N36">
        <v>88</v>
      </c>
    </row>
    <row r="37" spans="1:14" x14ac:dyDescent="0.35">
      <c r="A37" t="s">
        <v>75</v>
      </c>
      <c r="B37" t="s">
        <v>21</v>
      </c>
      <c r="C37" t="s">
        <v>22</v>
      </c>
      <c r="D37" t="s">
        <v>17</v>
      </c>
      <c r="E37" t="s">
        <v>23</v>
      </c>
      <c r="F37" t="s">
        <v>19</v>
      </c>
      <c r="G37">
        <v>2008</v>
      </c>
      <c r="H37">
        <v>37565</v>
      </c>
      <c r="I37">
        <v>37010</v>
      </c>
      <c r="J37">
        <v>572</v>
      </c>
      <c r="K37">
        <v>23546</v>
      </c>
      <c r="L37">
        <v>63</v>
      </c>
      <c r="M37">
        <v>14019</v>
      </c>
      <c r="N37">
        <v>37</v>
      </c>
    </row>
    <row r="38" spans="1:14" x14ac:dyDescent="0.35">
      <c r="A38" t="s">
        <v>76</v>
      </c>
      <c r="B38" t="s">
        <v>21</v>
      </c>
      <c r="C38" t="s">
        <v>43</v>
      </c>
      <c r="D38" t="s">
        <v>25</v>
      </c>
      <c r="E38" t="s">
        <v>26</v>
      </c>
      <c r="F38" t="s">
        <v>19</v>
      </c>
      <c r="G38">
        <v>2007</v>
      </c>
      <c r="H38">
        <v>37550</v>
      </c>
      <c r="I38">
        <v>29604</v>
      </c>
      <c r="J38">
        <v>7962</v>
      </c>
      <c r="K38">
        <v>14790</v>
      </c>
      <c r="L38">
        <v>39</v>
      </c>
      <c r="M38">
        <v>22759</v>
      </c>
      <c r="N38">
        <v>61</v>
      </c>
    </row>
    <row r="39" spans="1:14" x14ac:dyDescent="0.35">
      <c r="A39" t="s">
        <v>77</v>
      </c>
      <c r="B39" t="s">
        <v>15</v>
      </c>
      <c r="C39" t="s">
        <v>22</v>
      </c>
      <c r="D39" t="s">
        <v>17</v>
      </c>
      <c r="E39" t="s">
        <v>18</v>
      </c>
      <c r="F39" t="s">
        <v>19</v>
      </c>
      <c r="G39">
        <v>2017</v>
      </c>
      <c r="H39">
        <v>35932</v>
      </c>
      <c r="I39">
        <v>18774</v>
      </c>
      <c r="J39">
        <v>17172</v>
      </c>
      <c r="K39">
        <v>8929</v>
      </c>
      <c r="L39">
        <v>25</v>
      </c>
      <c r="M39">
        <v>27003</v>
      </c>
      <c r="N39">
        <v>75</v>
      </c>
    </row>
    <row r="40" spans="1:14" x14ac:dyDescent="0.35">
      <c r="A40" t="s">
        <v>78</v>
      </c>
      <c r="B40" t="s">
        <v>79</v>
      </c>
      <c r="C40" t="s">
        <v>22</v>
      </c>
      <c r="D40" t="s">
        <v>17</v>
      </c>
      <c r="E40" t="s">
        <v>23</v>
      </c>
      <c r="F40" t="s">
        <v>49</v>
      </c>
      <c r="G40">
        <v>2002</v>
      </c>
      <c r="H40">
        <v>35794</v>
      </c>
      <c r="I40">
        <v>35586</v>
      </c>
      <c r="J40">
        <v>223</v>
      </c>
      <c r="K40">
        <v>23312</v>
      </c>
      <c r="L40">
        <v>65</v>
      </c>
      <c r="M40">
        <v>12482</v>
      </c>
      <c r="N40">
        <v>35</v>
      </c>
    </row>
    <row r="41" spans="1:14" x14ac:dyDescent="0.35">
      <c r="A41" t="s">
        <v>80</v>
      </c>
      <c r="B41" t="s">
        <v>15</v>
      </c>
      <c r="C41" t="s">
        <v>22</v>
      </c>
      <c r="D41" t="s">
        <v>17</v>
      </c>
      <c r="E41" t="s">
        <v>28</v>
      </c>
      <c r="F41" t="s">
        <v>19</v>
      </c>
      <c r="G41">
        <v>2016</v>
      </c>
      <c r="H41">
        <v>35727</v>
      </c>
      <c r="I41">
        <v>18500</v>
      </c>
      <c r="J41">
        <v>17234</v>
      </c>
      <c r="K41">
        <v>12521</v>
      </c>
      <c r="L41">
        <v>35</v>
      </c>
      <c r="M41">
        <v>23207</v>
      </c>
      <c r="N41">
        <v>65</v>
      </c>
    </row>
    <row r="42" spans="1:14" x14ac:dyDescent="0.35">
      <c r="A42" t="s">
        <v>81</v>
      </c>
      <c r="B42" t="s">
        <v>21</v>
      </c>
      <c r="C42" t="s">
        <v>22</v>
      </c>
      <c r="D42" t="s">
        <v>17</v>
      </c>
      <c r="E42" t="s">
        <v>23</v>
      </c>
      <c r="F42" t="s">
        <v>19</v>
      </c>
      <c r="G42">
        <v>2003</v>
      </c>
      <c r="H42">
        <v>34975</v>
      </c>
      <c r="I42">
        <v>29663</v>
      </c>
      <c r="J42">
        <v>5325</v>
      </c>
      <c r="K42">
        <v>21864</v>
      </c>
      <c r="L42">
        <v>63</v>
      </c>
      <c r="M42">
        <v>13111</v>
      </c>
      <c r="N42">
        <v>37</v>
      </c>
    </row>
    <row r="43" spans="1:14" x14ac:dyDescent="0.35">
      <c r="A43" t="s">
        <v>82</v>
      </c>
      <c r="B43" t="s">
        <v>15</v>
      </c>
      <c r="C43" t="s">
        <v>43</v>
      </c>
      <c r="D43" t="s">
        <v>25</v>
      </c>
      <c r="E43" t="s">
        <v>83</v>
      </c>
      <c r="F43" t="s">
        <v>19</v>
      </c>
      <c r="G43">
        <v>2010</v>
      </c>
      <c r="H43">
        <v>34841</v>
      </c>
      <c r="I43">
        <v>19450</v>
      </c>
      <c r="J43">
        <v>15405</v>
      </c>
      <c r="K43">
        <v>11616</v>
      </c>
      <c r="L43">
        <v>33</v>
      </c>
      <c r="M43">
        <v>23225</v>
      </c>
      <c r="N43">
        <v>67</v>
      </c>
    </row>
    <row r="44" spans="1:14" x14ac:dyDescent="0.35">
      <c r="A44" t="s">
        <v>84</v>
      </c>
      <c r="B44" t="s">
        <v>15</v>
      </c>
      <c r="C44" t="s">
        <v>43</v>
      </c>
      <c r="D44" t="s">
        <v>25</v>
      </c>
      <c r="E44" t="s">
        <v>26</v>
      </c>
      <c r="F44" t="s">
        <v>19</v>
      </c>
      <c r="G44">
        <v>2015</v>
      </c>
      <c r="H44">
        <v>34579</v>
      </c>
      <c r="I44">
        <v>18726</v>
      </c>
      <c r="J44">
        <v>15774</v>
      </c>
      <c r="K44">
        <v>9877</v>
      </c>
      <c r="L44">
        <v>29</v>
      </c>
      <c r="M44">
        <v>24702</v>
      </c>
      <c r="N44">
        <v>71</v>
      </c>
    </row>
    <row r="45" spans="1:14" x14ac:dyDescent="0.35">
      <c r="A45" t="s">
        <v>85</v>
      </c>
      <c r="B45" t="s">
        <v>15</v>
      </c>
      <c r="C45" t="s">
        <v>86</v>
      </c>
      <c r="D45" t="s">
        <v>17</v>
      </c>
      <c r="E45" t="s">
        <v>61</v>
      </c>
      <c r="F45" t="s">
        <v>19</v>
      </c>
      <c r="G45">
        <v>2007</v>
      </c>
      <c r="H45">
        <v>34130</v>
      </c>
      <c r="I45">
        <v>31846</v>
      </c>
      <c r="J45">
        <v>2298</v>
      </c>
      <c r="K45">
        <v>5999</v>
      </c>
      <c r="L45">
        <v>18</v>
      </c>
      <c r="M45">
        <v>28131</v>
      </c>
      <c r="N45">
        <v>82</v>
      </c>
    </row>
    <row r="46" spans="1:14" x14ac:dyDescent="0.35">
      <c r="A46" t="s">
        <v>87</v>
      </c>
      <c r="B46" t="s">
        <v>15</v>
      </c>
      <c r="C46" t="s">
        <v>22</v>
      </c>
      <c r="D46" t="s">
        <v>25</v>
      </c>
      <c r="E46" t="s">
        <v>26</v>
      </c>
      <c r="F46" t="s">
        <v>19</v>
      </c>
      <c r="G46">
        <v>2016</v>
      </c>
      <c r="H46">
        <v>33621</v>
      </c>
      <c r="I46">
        <v>14022</v>
      </c>
      <c r="J46">
        <v>19615</v>
      </c>
      <c r="K46">
        <v>9407</v>
      </c>
      <c r="L46">
        <v>28</v>
      </c>
      <c r="M46">
        <v>24214</v>
      </c>
      <c r="N46">
        <v>72</v>
      </c>
    </row>
    <row r="47" spans="1:14" x14ac:dyDescent="0.35">
      <c r="A47" t="s">
        <v>88</v>
      </c>
      <c r="B47" t="s">
        <v>79</v>
      </c>
      <c r="C47" t="s">
        <v>22</v>
      </c>
      <c r="D47" t="s">
        <v>17</v>
      </c>
      <c r="E47" t="s">
        <v>52</v>
      </c>
      <c r="F47" t="s">
        <v>49</v>
      </c>
      <c r="G47">
        <v>2000</v>
      </c>
      <c r="H47">
        <v>33225</v>
      </c>
      <c r="I47">
        <v>31427</v>
      </c>
      <c r="J47">
        <v>1798</v>
      </c>
      <c r="K47">
        <v>30151</v>
      </c>
      <c r="L47">
        <v>91</v>
      </c>
      <c r="M47">
        <v>3074</v>
      </c>
      <c r="N47">
        <v>9</v>
      </c>
    </row>
    <row r="48" spans="1:14" x14ac:dyDescent="0.35">
      <c r="A48" t="s">
        <v>89</v>
      </c>
      <c r="B48" t="s">
        <v>15</v>
      </c>
      <c r="C48" t="s">
        <v>90</v>
      </c>
      <c r="D48" t="s">
        <v>25</v>
      </c>
      <c r="E48" t="s">
        <v>91</v>
      </c>
      <c r="F48" t="s">
        <v>19</v>
      </c>
      <c r="G48">
        <v>2020</v>
      </c>
      <c r="H48">
        <v>33180</v>
      </c>
      <c r="I48">
        <v>18699</v>
      </c>
      <c r="J48">
        <v>14501</v>
      </c>
      <c r="K48">
        <v>3938</v>
      </c>
      <c r="L48">
        <v>12</v>
      </c>
      <c r="M48">
        <v>29242</v>
      </c>
      <c r="N48">
        <v>88</v>
      </c>
    </row>
    <row r="49" spans="1:14" x14ac:dyDescent="0.35">
      <c r="A49" t="s">
        <v>92</v>
      </c>
      <c r="B49" t="s">
        <v>15</v>
      </c>
      <c r="C49" t="s">
        <v>22</v>
      </c>
      <c r="D49" t="s">
        <v>17</v>
      </c>
      <c r="E49" t="s">
        <v>18</v>
      </c>
      <c r="F49" t="s">
        <v>19</v>
      </c>
      <c r="G49">
        <v>2007</v>
      </c>
      <c r="H49">
        <v>32201</v>
      </c>
      <c r="I49">
        <v>24335</v>
      </c>
      <c r="J49">
        <v>7876</v>
      </c>
      <c r="K49">
        <v>19000</v>
      </c>
      <c r="L49">
        <v>59</v>
      </c>
      <c r="M49">
        <v>13201</v>
      </c>
      <c r="N49">
        <v>41</v>
      </c>
    </row>
    <row r="50" spans="1:14" x14ac:dyDescent="0.35">
      <c r="A50" t="s">
        <v>93</v>
      </c>
      <c r="B50" t="s">
        <v>15</v>
      </c>
      <c r="C50" t="s">
        <v>22</v>
      </c>
      <c r="D50" t="s">
        <v>17</v>
      </c>
      <c r="E50" t="s">
        <v>18</v>
      </c>
      <c r="F50" t="s">
        <v>19</v>
      </c>
      <c r="G50">
        <v>2014</v>
      </c>
      <c r="H50">
        <v>32116</v>
      </c>
      <c r="I50">
        <v>21118</v>
      </c>
      <c r="J50">
        <v>11007</v>
      </c>
      <c r="K50">
        <v>16803</v>
      </c>
      <c r="L50">
        <v>52</v>
      </c>
      <c r="M50">
        <v>15313</v>
      </c>
      <c r="N50">
        <v>48</v>
      </c>
    </row>
    <row r="51" spans="1:14" x14ac:dyDescent="0.35">
      <c r="A51" t="s">
        <v>94</v>
      </c>
      <c r="B51" t="s">
        <v>21</v>
      </c>
      <c r="C51" t="s">
        <v>95</v>
      </c>
      <c r="D51" t="s">
        <v>17</v>
      </c>
      <c r="E51" t="s">
        <v>23</v>
      </c>
      <c r="F51" t="s">
        <v>19</v>
      </c>
      <c r="G51">
        <v>1997</v>
      </c>
      <c r="H51">
        <v>31642</v>
      </c>
      <c r="I51">
        <v>21063</v>
      </c>
      <c r="J51">
        <v>10588</v>
      </c>
      <c r="K51">
        <v>15741</v>
      </c>
      <c r="L51">
        <v>50</v>
      </c>
      <c r="M51">
        <v>15901</v>
      </c>
      <c r="N51">
        <v>50</v>
      </c>
    </row>
    <row r="52" spans="1:14" x14ac:dyDescent="0.35">
      <c r="A52" t="s">
        <v>96</v>
      </c>
      <c r="B52" t="s">
        <v>21</v>
      </c>
      <c r="C52" t="s">
        <v>22</v>
      </c>
      <c r="D52" t="s">
        <v>17</v>
      </c>
      <c r="E52" t="s">
        <v>23</v>
      </c>
      <c r="F52" t="s">
        <v>19</v>
      </c>
      <c r="G52">
        <v>2012</v>
      </c>
      <c r="H52">
        <v>31214</v>
      </c>
      <c r="I52">
        <v>25574</v>
      </c>
      <c r="J52">
        <v>5651</v>
      </c>
      <c r="K52">
        <v>18797</v>
      </c>
      <c r="L52">
        <v>60</v>
      </c>
      <c r="M52">
        <v>12417</v>
      </c>
      <c r="N52">
        <v>40</v>
      </c>
    </row>
    <row r="53" spans="1:14" x14ac:dyDescent="0.35">
      <c r="A53" t="s">
        <v>97</v>
      </c>
      <c r="B53" t="s">
        <v>21</v>
      </c>
      <c r="C53" t="s">
        <v>43</v>
      </c>
      <c r="D53" t="s">
        <v>25</v>
      </c>
      <c r="E53" t="s">
        <v>83</v>
      </c>
      <c r="F53" t="s">
        <v>19</v>
      </c>
      <c r="G53">
        <v>1991</v>
      </c>
      <c r="H53">
        <v>31212</v>
      </c>
      <c r="I53">
        <v>24041</v>
      </c>
      <c r="J53">
        <v>7172</v>
      </c>
      <c r="K53">
        <v>11661</v>
      </c>
      <c r="L53">
        <v>37</v>
      </c>
      <c r="M53">
        <v>19551</v>
      </c>
      <c r="N53">
        <v>63</v>
      </c>
    </row>
    <row r="54" spans="1:14" x14ac:dyDescent="0.35">
      <c r="A54" t="s">
        <v>98</v>
      </c>
      <c r="B54" t="s">
        <v>15</v>
      </c>
      <c r="C54" t="s">
        <v>22</v>
      </c>
      <c r="D54" t="s">
        <v>17</v>
      </c>
      <c r="E54" t="s">
        <v>99</v>
      </c>
      <c r="F54" t="s">
        <v>19</v>
      </c>
      <c r="G54">
        <v>2014</v>
      </c>
      <c r="H54">
        <v>31171</v>
      </c>
      <c r="I54">
        <v>26590</v>
      </c>
      <c r="J54">
        <v>4600</v>
      </c>
      <c r="K54">
        <v>23826</v>
      </c>
      <c r="L54">
        <v>76</v>
      </c>
      <c r="M54">
        <v>7345</v>
      </c>
      <c r="N54">
        <v>24</v>
      </c>
    </row>
    <row r="55" spans="1:14" x14ac:dyDescent="0.35">
      <c r="A55" t="s">
        <v>100</v>
      </c>
      <c r="B55" t="s">
        <v>15</v>
      </c>
      <c r="C55" t="s">
        <v>22</v>
      </c>
      <c r="D55" t="s">
        <v>17</v>
      </c>
      <c r="E55" t="s">
        <v>18</v>
      </c>
      <c r="F55" t="s">
        <v>19</v>
      </c>
      <c r="G55">
        <v>2011</v>
      </c>
      <c r="H55">
        <v>30934</v>
      </c>
      <c r="I55">
        <v>10464</v>
      </c>
      <c r="J55">
        <v>20472</v>
      </c>
      <c r="K55">
        <v>2792</v>
      </c>
      <c r="L55">
        <v>9</v>
      </c>
      <c r="M55">
        <v>28142</v>
      </c>
      <c r="N55">
        <v>91</v>
      </c>
    </row>
    <row r="56" spans="1:14" x14ac:dyDescent="0.35">
      <c r="A56" t="s">
        <v>101</v>
      </c>
      <c r="B56" t="s">
        <v>15</v>
      </c>
      <c r="C56" t="s">
        <v>22</v>
      </c>
      <c r="D56" t="s">
        <v>25</v>
      </c>
      <c r="E56" t="s">
        <v>26</v>
      </c>
      <c r="F56" t="s">
        <v>19</v>
      </c>
      <c r="G56">
        <v>2009</v>
      </c>
      <c r="H56">
        <v>29775</v>
      </c>
      <c r="I56">
        <v>8549</v>
      </c>
      <c r="J56">
        <v>21237</v>
      </c>
      <c r="K56">
        <v>4616</v>
      </c>
      <c r="L56">
        <v>16</v>
      </c>
      <c r="M56">
        <v>25159</v>
      </c>
      <c r="N56">
        <v>84</v>
      </c>
    </row>
    <row r="57" spans="1:14" x14ac:dyDescent="0.35">
      <c r="A57" t="s">
        <v>102</v>
      </c>
      <c r="B57" t="s">
        <v>15</v>
      </c>
      <c r="C57" t="s">
        <v>16</v>
      </c>
      <c r="D57" t="s">
        <v>17</v>
      </c>
      <c r="E57" t="s">
        <v>23</v>
      </c>
      <c r="F57" t="s">
        <v>19</v>
      </c>
      <c r="G57">
        <v>2014</v>
      </c>
      <c r="H57">
        <v>29471</v>
      </c>
      <c r="I57">
        <v>28781</v>
      </c>
      <c r="J57">
        <v>699</v>
      </c>
      <c r="K57">
        <v>22075</v>
      </c>
      <c r="L57">
        <v>75</v>
      </c>
      <c r="M57">
        <v>7396</v>
      </c>
      <c r="N57">
        <v>25</v>
      </c>
    </row>
    <row r="58" spans="1:14" x14ac:dyDescent="0.35">
      <c r="A58" t="s">
        <v>103</v>
      </c>
      <c r="B58" t="s">
        <v>15</v>
      </c>
      <c r="C58" t="s">
        <v>34</v>
      </c>
      <c r="D58" t="s">
        <v>17</v>
      </c>
      <c r="E58" t="s">
        <v>23</v>
      </c>
      <c r="F58" t="s">
        <v>19</v>
      </c>
      <c r="G58">
        <v>2010</v>
      </c>
      <c r="H58">
        <v>29449</v>
      </c>
      <c r="I58">
        <v>29463</v>
      </c>
      <c r="J58">
        <v>0</v>
      </c>
      <c r="K58">
        <v>29449</v>
      </c>
      <c r="L58">
        <v>100</v>
      </c>
      <c r="M58">
        <v>0</v>
      </c>
      <c r="N58">
        <v>0</v>
      </c>
    </row>
    <row r="59" spans="1:14" x14ac:dyDescent="0.35">
      <c r="A59" t="s">
        <v>104</v>
      </c>
      <c r="B59" t="s">
        <v>15</v>
      </c>
      <c r="C59" t="s">
        <v>34</v>
      </c>
      <c r="D59" t="s">
        <v>17</v>
      </c>
      <c r="E59" t="s">
        <v>52</v>
      </c>
      <c r="F59" t="s">
        <v>49</v>
      </c>
      <c r="G59">
        <v>1973</v>
      </c>
      <c r="H59">
        <v>29370</v>
      </c>
      <c r="I59">
        <v>29308</v>
      </c>
      <c r="J59">
        <v>71</v>
      </c>
      <c r="K59">
        <v>26932</v>
      </c>
      <c r="L59">
        <v>92</v>
      </c>
      <c r="M59">
        <v>2438</v>
      </c>
      <c r="N59">
        <v>8</v>
      </c>
    </row>
    <row r="60" spans="1:14" x14ac:dyDescent="0.35">
      <c r="A60" t="s">
        <v>105</v>
      </c>
      <c r="B60" t="s">
        <v>15</v>
      </c>
      <c r="C60" t="s">
        <v>34</v>
      </c>
      <c r="D60" t="s">
        <v>17</v>
      </c>
      <c r="E60" t="s">
        <v>23</v>
      </c>
      <c r="F60" t="s">
        <v>19</v>
      </c>
      <c r="G60">
        <v>2012</v>
      </c>
      <c r="H60">
        <v>29197</v>
      </c>
      <c r="I60">
        <v>24126</v>
      </c>
      <c r="J60">
        <v>5078</v>
      </c>
      <c r="K60">
        <v>17995</v>
      </c>
      <c r="L60">
        <v>62</v>
      </c>
      <c r="M60">
        <v>11202</v>
      </c>
      <c r="N60">
        <v>38</v>
      </c>
    </row>
    <row r="61" spans="1:14" x14ac:dyDescent="0.35">
      <c r="A61" t="s">
        <v>106</v>
      </c>
      <c r="B61" t="s">
        <v>79</v>
      </c>
      <c r="C61" t="s">
        <v>34</v>
      </c>
      <c r="D61" t="s">
        <v>17</v>
      </c>
      <c r="E61" t="s">
        <v>23</v>
      </c>
      <c r="F61" t="s">
        <v>49</v>
      </c>
      <c r="G61">
        <v>2011</v>
      </c>
      <c r="H61">
        <v>28890</v>
      </c>
      <c r="I61">
        <v>28898</v>
      </c>
      <c r="J61">
        <v>0</v>
      </c>
      <c r="K61">
        <v>28802</v>
      </c>
      <c r="L61">
        <v>100</v>
      </c>
      <c r="M61">
        <v>88</v>
      </c>
      <c r="N61">
        <v>0</v>
      </c>
    </row>
    <row r="62" spans="1:14" x14ac:dyDescent="0.35">
      <c r="A62" t="s">
        <v>107</v>
      </c>
      <c r="B62" t="s">
        <v>15</v>
      </c>
      <c r="C62" t="s">
        <v>22</v>
      </c>
      <c r="D62" t="s">
        <v>17</v>
      </c>
      <c r="E62" t="s">
        <v>18</v>
      </c>
      <c r="F62" t="s">
        <v>19</v>
      </c>
      <c r="G62">
        <v>2013</v>
      </c>
      <c r="H62">
        <v>28849</v>
      </c>
      <c r="I62">
        <v>13945</v>
      </c>
      <c r="J62">
        <v>14912</v>
      </c>
      <c r="K62">
        <v>120</v>
      </c>
      <c r="L62">
        <v>0</v>
      </c>
      <c r="M62">
        <v>28729</v>
      </c>
      <c r="N62">
        <v>100</v>
      </c>
    </row>
    <row r="63" spans="1:14" x14ac:dyDescent="0.35">
      <c r="A63" t="s">
        <v>108</v>
      </c>
      <c r="B63" t="s">
        <v>21</v>
      </c>
      <c r="C63" t="s">
        <v>22</v>
      </c>
      <c r="D63" t="s">
        <v>17</v>
      </c>
      <c r="E63" t="s">
        <v>23</v>
      </c>
      <c r="F63" t="s">
        <v>19</v>
      </c>
      <c r="G63">
        <v>2021</v>
      </c>
      <c r="H63">
        <v>28800</v>
      </c>
      <c r="I63">
        <v>28798</v>
      </c>
      <c r="J63">
        <v>2</v>
      </c>
      <c r="K63">
        <v>26750</v>
      </c>
      <c r="L63">
        <v>93</v>
      </c>
      <c r="M63">
        <v>2049</v>
      </c>
      <c r="N63">
        <v>7</v>
      </c>
    </row>
    <row r="64" spans="1:14" x14ac:dyDescent="0.35">
      <c r="A64" t="s">
        <v>109</v>
      </c>
      <c r="B64" t="s">
        <v>21</v>
      </c>
      <c r="C64" t="s">
        <v>34</v>
      </c>
      <c r="D64" t="s">
        <v>17</v>
      </c>
      <c r="E64" t="s">
        <v>23</v>
      </c>
      <c r="F64" t="s">
        <v>19</v>
      </c>
      <c r="G64">
        <v>2008</v>
      </c>
      <c r="H64">
        <v>28690</v>
      </c>
      <c r="I64">
        <v>28700</v>
      </c>
      <c r="J64">
        <v>0</v>
      </c>
      <c r="K64">
        <v>28538</v>
      </c>
      <c r="L64">
        <v>99</v>
      </c>
      <c r="M64">
        <v>153</v>
      </c>
      <c r="N64">
        <v>1</v>
      </c>
    </row>
    <row r="65" spans="1:14" x14ac:dyDescent="0.35">
      <c r="A65" t="s">
        <v>110</v>
      </c>
      <c r="B65" t="s">
        <v>15</v>
      </c>
      <c r="C65" t="s">
        <v>72</v>
      </c>
      <c r="D65" t="s">
        <v>73</v>
      </c>
      <c r="E65" t="s">
        <v>23</v>
      </c>
      <c r="F65" t="s">
        <v>19</v>
      </c>
      <c r="G65">
        <v>2001</v>
      </c>
      <c r="H65">
        <v>28544</v>
      </c>
      <c r="I65">
        <v>25181</v>
      </c>
      <c r="J65">
        <v>3362</v>
      </c>
      <c r="K65">
        <v>12</v>
      </c>
      <c r="L65">
        <v>0</v>
      </c>
      <c r="M65">
        <v>28532</v>
      </c>
      <c r="N65">
        <v>100</v>
      </c>
    </row>
    <row r="66" spans="1:14" x14ac:dyDescent="0.35">
      <c r="A66" t="s">
        <v>111</v>
      </c>
      <c r="B66" t="s">
        <v>21</v>
      </c>
      <c r="C66" t="s">
        <v>22</v>
      </c>
      <c r="D66" t="s">
        <v>17</v>
      </c>
      <c r="E66" t="s">
        <v>23</v>
      </c>
      <c r="F66" t="s">
        <v>19</v>
      </c>
      <c r="G66">
        <v>2001</v>
      </c>
      <c r="H66">
        <v>28248</v>
      </c>
      <c r="I66">
        <v>25288</v>
      </c>
      <c r="J66">
        <v>2978</v>
      </c>
      <c r="K66">
        <v>19630</v>
      </c>
      <c r="L66">
        <v>69</v>
      </c>
      <c r="M66">
        <v>8618</v>
      </c>
      <c r="N66">
        <v>31</v>
      </c>
    </row>
    <row r="67" spans="1:14" x14ac:dyDescent="0.35">
      <c r="A67" t="s">
        <v>112</v>
      </c>
      <c r="B67" t="s">
        <v>15</v>
      </c>
      <c r="C67" t="s">
        <v>22</v>
      </c>
      <c r="D67" t="s">
        <v>17</v>
      </c>
      <c r="E67" t="s">
        <v>18</v>
      </c>
      <c r="F67" t="s">
        <v>19</v>
      </c>
      <c r="G67">
        <v>2013</v>
      </c>
      <c r="H67">
        <v>28196</v>
      </c>
      <c r="I67">
        <v>12491</v>
      </c>
      <c r="J67">
        <v>15716</v>
      </c>
      <c r="K67">
        <v>7950</v>
      </c>
      <c r="L67">
        <v>28</v>
      </c>
      <c r="M67">
        <v>20246</v>
      </c>
      <c r="N67">
        <v>72</v>
      </c>
    </row>
    <row r="68" spans="1:14" x14ac:dyDescent="0.35">
      <c r="A68" t="s">
        <v>113</v>
      </c>
      <c r="B68" t="s">
        <v>15</v>
      </c>
      <c r="C68" t="s">
        <v>34</v>
      </c>
      <c r="D68" t="s">
        <v>17</v>
      </c>
      <c r="E68" t="s">
        <v>52</v>
      </c>
      <c r="F68" t="s">
        <v>49</v>
      </c>
      <c r="G68">
        <v>2005</v>
      </c>
      <c r="H68">
        <v>28155</v>
      </c>
      <c r="I68">
        <v>28166</v>
      </c>
      <c r="J68">
        <v>0</v>
      </c>
      <c r="K68">
        <v>28130</v>
      </c>
      <c r="L68">
        <v>100</v>
      </c>
      <c r="M68">
        <v>25</v>
      </c>
      <c r="N68">
        <v>0</v>
      </c>
    </row>
    <row r="69" spans="1:14" x14ac:dyDescent="0.35">
      <c r="A69" t="s">
        <v>114</v>
      </c>
      <c r="B69" t="s">
        <v>15</v>
      </c>
      <c r="C69" t="s">
        <v>22</v>
      </c>
      <c r="D69" t="s">
        <v>25</v>
      </c>
      <c r="E69" t="s">
        <v>83</v>
      </c>
      <c r="F69" t="s">
        <v>49</v>
      </c>
      <c r="G69">
        <v>2018</v>
      </c>
      <c r="H69">
        <v>27467</v>
      </c>
      <c r="I69">
        <v>19815</v>
      </c>
      <c r="J69">
        <v>7652</v>
      </c>
      <c r="K69">
        <v>11576</v>
      </c>
      <c r="L69">
        <v>42</v>
      </c>
      <c r="M69">
        <v>15891</v>
      </c>
      <c r="N69">
        <v>58</v>
      </c>
    </row>
    <row r="70" spans="1:14" x14ac:dyDescent="0.35">
      <c r="A70" t="s">
        <v>115</v>
      </c>
      <c r="B70" t="s">
        <v>15</v>
      </c>
      <c r="C70" t="s">
        <v>90</v>
      </c>
      <c r="D70" t="s">
        <v>25</v>
      </c>
      <c r="E70" t="s">
        <v>91</v>
      </c>
      <c r="F70" t="s">
        <v>19</v>
      </c>
      <c r="G70">
        <v>2019</v>
      </c>
      <c r="H70">
        <v>27407</v>
      </c>
      <c r="I70">
        <v>18341</v>
      </c>
      <c r="J70">
        <v>9084</v>
      </c>
      <c r="K70">
        <v>13659</v>
      </c>
      <c r="L70">
        <v>50</v>
      </c>
      <c r="M70">
        <v>13748</v>
      </c>
      <c r="N70">
        <v>50</v>
      </c>
    </row>
    <row r="71" spans="1:14" x14ac:dyDescent="0.35">
      <c r="A71" t="s">
        <v>116</v>
      </c>
      <c r="B71" t="s">
        <v>15</v>
      </c>
      <c r="C71" t="s">
        <v>22</v>
      </c>
      <c r="D71" t="s">
        <v>17</v>
      </c>
      <c r="E71" t="s">
        <v>18</v>
      </c>
      <c r="F71" t="s">
        <v>19</v>
      </c>
      <c r="G71">
        <v>2009</v>
      </c>
      <c r="H71">
        <v>27126</v>
      </c>
      <c r="I71">
        <v>23926</v>
      </c>
      <c r="J71">
        <v>3209</v>
      </c>
      <c r="K71">
        <v>11656</v>
      </c>
      <c r="L71">
        <v>43</v>
      </c>
      <c r="M71">
        <v>15469</v>
      </c>
      <c r="N71">
        <v>57</v>
      </c>
    </row>
    <row r="72" spans="1:14" x14ac:dyDescent="0.35">
      <c r="A72" t="s">
        <v>117</v>
      </c>
      <c r="B72" t="s">
        <v>21</v>
      </c>
      <c r="C72" t="s">
        <v>22</v>
      </c>
      <c r="D72" t="s">
        <v>17</v>
      </c>
      <c r="E72" t="s">
        <v>23</v>
      </c>
      <c r="F72" t="s">
        <v>19</v>
      </c>
      <c r="G72">
        <v>2008</v>
      </c>
      <c r="H72">
        <v>26895</v>
      </c>
      <c r="I72">
        <v>16018</v>
      </c>
      <c r="J72">
        <v>10884</v>
      </c>
      <c r="K72">
        <v>10922</v>
      </c>
      <c r="L72">
        <v>41</v>
      </c>
      <c r="M72">
        <v>15974</v>
      </c>
      <c r="N72">
        <v>59</v>
      </c>
    </row>
    <row r="73" spans="1:14" x14ac:dyDescent="0.35">
      <c r="A73" t="s">
        <v>118</v>
      </c>
      <c r="B73" t="s">
        <v>15</v>
      </c>
      <c r="C73" t="s">
        <v>22</v>
      </c>
      <c r="D73" t="s">
        <v>17</v>
      </c>
      <c r="E73" t="s">
        <v>28</v>
      </c>
      <c r="F73" t="s">
        <v>19</v>
      </c>
      <c r="G73">
        <v>2011</v>
      </c>
      <c r="H73">
        <v>26465</v>
      </c>
      <c r="I73">
        <v>5074</v>
      </c>
      <c r="J73">
        <v>21395</v>
      </c>
      <c r="K73">
        <v>318</v>
      </c>
      <c r="L73">
        <v>1</v>
      </c>
      <c r="M73">
        <v>26147</v>
      </c>
      <c r="N73">
        <v>99</v>
      </c>
    </row>
    <row r="74" spans="1:14" x14ac:dyDescent="0.35">
      <c r="A74" t="s">
        <v>119</v>
      </c>
      <c r="B74" t="s">
        <v>15</v>
      </c>
      <c r="C74" t="s">
        <v>34</v>
      </c>
      <c r="D74" t="s">
        <v>17</v>
      </c>
      <c r="E74" t="s">
        <v>52</v>
      </c>
      <c r="F74" t="s">
        <v>49</v>
      </c>
      <c r="G74">
        <v>1962</v>
      </c>
      <c r="H74">
        <v>26130</v>
      </c>
      <c r="I74">
        <v>26139</v>
      </c>
      <c r="J74">
        <v>2</v>
      </c>
      <c r="K74">
        <v>26123</v>
      </c>
      <c r="L74">
        <v>100</v>
      </c>
      <c r="M74">
        <v>8</v>
      </c>
      <c r="N74">
        <v>0</v>
      </c>
    </row>
    <row r="75" spans="1:14" x14ac:dyDescent="0.35">
      <c r="A75" t="s">
        <v>120</v>
      </c>
      <c r="B75" t="s">
        <v>15</v>
      </c>
      <c r="C75" t="s">
        <v>22</v>
      </c>
      <c r="D75" t="s">
        <v>17</v>
      </c>
      <c r="E75" t="s">
        <v>23</v>
      </c>
      <c r="F75" t="s">
        <v>19</v>
      </c>
      <c r="G75">
        <v>2004</v>
      </c>
      <c r="H75">
        <v>25876</v>
      </c>
      <c r="I75">
        <v>18251</v>
      </c>
      <c r="J75">
        <v>7641</v>
      </c>
      <c r="K75">
        <v>2322</v>
      </c>
      <c r="L75">
        <v>9</v>
      </c>
      <c r="M75">
        <v>23554</v>
      </c>
      <c r="N75">
        <v>91</v>
      </c>
    </row>
    <row r="76" spans="1:14" x14ac:dyDescent="0.35">
      <c r="A76" t="s">
        <v>121</v>
      </c>
      <c r="B76" t="s">
        <v>15</v>
      </c>
      <c r="C76" t="s">
        <v>22</v>
      </c>
      <c r="D76" t="s">
        <v>25</v>
      </c>
      <c r="E76" t="s">
        <v>26</v>
      </c>
      <c r="F76" t="s">
        <v>19</v>
      </c>
      <c r="G76">
        <v>1995</v>
      </c>
      <c r="H76">
        <v>25875</v>
      </c>
      <c r="I76">
        <v>11175</v>
      </c>
      <c r="J76">
        <v>14672</v>
      </c>
      <c r="K76">
        <v>2972</v>
      </c>
      <c r="L76">
        <v>11</v>
      </c>
      <c r="M76">
        <v>22903</v>
      </c>
      <c r="N76">
        <v>89</v>
      </c>
    </row>
    <row r="77" spans="1:14" x14ac:dyDescent="0.35">
      <c r="A77" t="s">
        <v>122</v>
      </c>
      <c r="B77" t="s">
        <v>15</v>
      </c>
      <c r="C77" t="s">
        <v>22</v>
      </c>
      <c r="D77" t="s">
        <v>17</v>
      </c>
      <c r="E77" t="s">
        <v>18</v>
      </c>
      <c r="F77" t="s">
        <v>19</v>
      </c>
      <c r="G77">
        <v>2011</v>
      </c>
      <c r="H77">
        <v>25818</v>
      </c>
      <c r="I77">
        <v>15382</v>
      </c>
      <c r="J77">
        <v>10447</v>
      </c>
      <c r="K77">
        <v>10110</v>
      </c>
      <c r="L77">
        <v>39</v>
      </c>
      <c r="M77">
        <v>15709</v>
      </c>
      <c r="N77">
        <v>61</v>
      </c>
    </row>
    <row r="78" spans="1:14" x14ac:dyDescent="0.35">
      <c r="A78" t="s">
        <v>123</v>
      </c>
      <c r="B78" t="s">
        <v>21</v>
      </c>
      <c r="C78" t="s">
        <v>22</v>
      </c>
      <c r="D78" t="s">
        <v>17</v>
      </c>
      <c r="E78" t="s">
        <v>23</v>
      </c>
      <c r="F78" t="s">
        <v>19</v>
      </c>
      <c r="G78">
        <v>2014</v>
      </c>
      <c r="H78">
        <v>25688</v>
      </c>
      <c r="I78">
        <v>13902</v>
      </c>
      <c r="J78">
        <v>11792</v>
      </c>
      <c r="K78">
        <v>12376</v>
      </c>
      <c r="L78">
        <v>48</v>
      </c>
      <c r="M78">
        <v>13311</v>
      </c>
      <c r="N78">
        <v>52</v>
      </c>
    </row>
    <row r="79" spans="1:14" x14ac:dyDescent="0.35">
      <c r="A79" t="s">
        <v>124</v>
      </c>
      <c r="B79" t="s">
        <v>15</v>
      </c>
      <c r="C79" t="s">
        <v>22</v>
      </c>
      <c r="D79" t="s">
        <v>17</v>
      </c>
      <c r="E79" t="s">
        <v>18</v>
      </c>
      <c r="F79" t="s">
        <v>19</v>
      </c>
      <c r="G79">
        <v>2006</v>
      </c>
      <c r="H79">
        <v>25290</v>
      </c>
      <c r="I79">
        <v>11749</v>
      </c>
      <c r="J79">
        <v>13549</v>
      </c>
      <c r="K79">
        <v>4844</v>
      </c>
      <c r="L79">
        <v>19</v>
      </c>
      <c r="M79">
        <v>20445</v>
      </c>
      <c r="N79">
        <v>81</v>
      </c>
    </row>
    <row r="80" spans="1:14" x14ac:dyDescent="0.35">
      <c r="A80" t="s">
        <v>125</v>
      </c>
      <c r="B80" t="s">
        <v>15</v>
      </c>
      <c r="C80" t="s">
        <v>22</v>
      </c>
      <c r="D80" t="s">
        <v>17</v>
      </c>
      <c r="E80" t="s">
        <v>23</v>
      </c>
      <c r="F80" t="s">
        <v>19</v>
      </c>
      <c r="G80">
        <v>1964</v>
      </c>
      <c r="H80">
        <v>25264</v>
      </c>
      <c r="I80">
        <v>24356</v>
      </c>
      <c r="J80">
        <v>909</v>
      </c>
      <c r="K80">
        <v>22915</v>
      </c>
      <c r="L80">
        <v>91</v>
      </c>
      <c r="M80">
        <v>2349</v>
      </c>
      <c r="N80">
        <v>9</v>
      </c>
    </row>
    <row r="81" spans="1:14" x14ac:dyDescent="0.35">
      <c r="A81" t="s">
        <v>126</v>
      </c>
      <c r="B81" t="s">
        <v>21</v>
      </c>
      <c r="C81" t="s">
        <v>22</v>
      </c>
      <c r="D81" t="s">
        <v>17</v>
      </c>
      <c r="E81" t="s">
        <v>23</v>
      </c>
      <c r="F81" t="s">
        <v>19</v>
      </c>
      <c r="G81">
        <v>2014</v>
      </c>
      <c r="H81">
        <v>24889</v>
      </c>
      <c r="I81">
        <v>22790</v>
      </c>
      <c r="J81">
        <v>2114</v>
      </c>
      <c r="K81">
        <v>22549</v>
      </c>
      <c r="L81">
        <v>91</v>
      </c>
      <c r="M81">
        <v>2339</v>
      </c>
      <c r="N81">
        <v>9</v>
      </c>
    </row>
    <row r="82" spans="1:14" x14ac:dyDescent="0.35">
      <c r="A82" t="s">
        <v>127</v>
      </c>
      <c r="B82" t="s">
        <v>15</v>
      </c>
      <c r="C82" t="s">
        <v>22</v>
      </c>
      <c r="D82" t="s">
        <v>17</v>
      </c>
      <c r="E82" t="s">
        <v>28</v>
      </c>
      <c r="F82" t="s">
        <v>19</v>
      </c>
      <c r="G82">
        <v>2011</v>
      </c>
      <c r="H82">
        <v>24807</v>
      </c>
      <c r="I82">
        <v>20425</v>
      </c>
      <c r="J82">
        <v>4392</v>
      </c>
      <c r="K82">
        <v>18809</v>
      </c>
      <c r="L82">
        <v>76</v>
      </c>
      <c r="M82">
        <v>5998</v>
      </c>
      <c r="N82">
        <v>24</v>
      </c>
    </row>
    <row r="83" spans="1:14" x14ac:dyDescent="0.35">
      <c r="A83" t="s">
        <v>128</v>
      </c>
      <c r="B83" t="s">
        <v>15</v>
      </c>
      <c r="C83" t="s">
        <v>129</v>
      </c>
      <c r="D83" t="s">
        <v>130</v>
      </c>
      <c r="E83" t="s">
        <v>131</v>
      </c>
      <c r="F83" t="s">
        <v>49</v>
      </c>
      <c r="G83">
        <v>1979</v>
      </c>
      <c r="H83">
        <v>24607</v>
      </c>
      <c r="I83">
        <v>24525</v>
      </c>
      <c r="J83">
        <v>82</v>
      </c>
      <c r="K83">
        <v>24411</v>
      </c>
      <c r="L83">
        <v>99</v>
      </c>
      <c r="M83">
        <v>196</v>
      </c>
      <c r="N83">
        <v>1</v>
      </c>
    </row>
    <row r="84" spans="1:14" x14ac:dyDescent="0.35">
      <c r="A84" t="s">
        <v>132</v>
      </c>
      <c r="B84" t="s">
        <v>15</v>
      </c>
      <c r="C84" t="s">
        <v>22</v>
      </c>
      <c r="D84" t="s">
        <v>17</v>
      </c>
      <c r="E84" t="s">
        <v>18</v>
      </c>
      <c r="F84" t="s">
        <v>19</v>
      </c>
      <c r="G84">
        <v>1996</v>
      </c>
      <c r="H84">
        <v>24440</v>
      </c>
      <c r="I84">
        <v>13311</v>
      </c>
      <c r="J84">
        <v>11140</v>
      </c>
      <c r="K84">
        <v>2764</v>
      </c>
      <c r="L84">
        <v>11</v>
      </c>
      <c r="M84">
        <v>21676</v>
      </c>
      <c r="N84">
        <v>89</v>
      </c>
    </row>
    <row r="85" spans="1:14" x14ac:dyDescent="0.35">
      <c r="A85" t="s">
        <v>133</v>
      </c>
      <c r="B85" t="s">
        <v>15</v>
      </c>
      <c r="C85" t="s">
        <v>22</v>
      </c>
      <c r="D85" t="s">
        <v>17</v>
      </c>
      <c r="E85" t="s">
        <v>18</v>
      </c>
      <c r="F85" t="s">
        <v>19</v>
      </c>
      <c r="G85">
        <v>2011</v>
      </c>
      <c r="H85">
        <v>24217</v>
      </c>
      <c r="I85">
        <v>14721</v>
      </c>
      <c r="J85">
        <v>9504</v>
      </c>
      <c r="K85">
        <v>6254</v>
      </c>
      <c r="L85">
        <v>26</v>
      </c>
      <c r="M85">
        <v>17964</v>
      </c>
      <c r="N85">
        <v>74</v>
      </c>
    </row>
    <row r="86" spans="1:14" x14ac:dyDescent="0.35">
      <c r="A86" t="s">
        <v>134</v>
      </c>
      <c r="B86" t="s">
        <v>21</v>
      </c>
      <c r="C86" t="s">
        <v>22</v>
      </c>
      <c r="D86" t="s">
        <v>17</v>
      </c>
      <c r="E86" t="s">
        <v>23</v>
      </c>
      <c r="F86" t="s">
        <v>19</v>
      </c>
      <c r="G86">
        <v>2006</v>
      </c>
      <c r="H86">
        <v>23908</v>
      </c>
      <c r="I86">
        <v>20739</v>
      </c>
      <c r="J86">
        <v>3176</v>
      </c>
      <c r="K86">
        <v>18454</v>
      </c>
      <c r="L86">
        <v>77</v>
      </c>
      <c r="M86">
        <v>5454</v>
      </c>
      <c r="N86">
        <v>23</v>
      </c>
    </row>
    <row r="87" spans="1:14" x14ac:dyDescent="0.35">
      <c r="A87" t="s">
        <v>135</v>
      </c>
      <c r="B87" t="s">
        <v>15</v>
      </c>
      <c r="C87" t="s">
        <v>22</v>
      </c>
      <c r="D87" t="s">
        <v>17</v>
      </c>
      <c r="E87" t="s">
        <v>61</v>
      </c>
      <c r="F87" t="s">
        <v>49</v>
      </c>
      <c r="G87">
        <v>2012</v>
      </c>
      <c r="H87">
        <v>23845</v>
      </c>
      <c r="I87">
        <v>22662</v>
      </c>
      <c r="J87">
        <v>1190</v>
      </c>
      <c r="K87">
        <v>3831</v>
      </c>
      <c r="L87">
        <v>16</v>
      </c>
      <c r="M87">
        <v>20014</v>
      </c>
      <c r="N87">
        <v>84</v>
      </c>
    </row>
    <row r="88" spans="1:14" x14ac:dyDescent="0.35">
      <c r="A88" t="s">
        <v>136</v>
      </c>
      <c r="B88" t="s">
        <v>15</v>
      </c>
      <c r="C88" t="s">
        <v>22</v>
      </c>
      <c r="D88" t="s">
        <v>17</v>
      </c>
      <c r="E88" t="s">
        <v>61</v>
      </c>
      <c r="F88" t="s">
        <v>19</v>
      </c>
      <c r="G88">
        <v>2015</v>
      </c>
      <c r="H88">
        <v>23706</v>
      </c>
      <c r="I88">
        <v>17589</v>
      </c>
      <c r="J88">
        <v>6122</v>
      </c>
      <c r="K88">
        <v>1704</v>
      </c>
      <c r="L88">
        <v>7</v>
      </c>
      <c r="M88">
        <v>22002</v>
      </c>
      <c r="N88">
        <v>93</v>
      </c>
    </row>
    <row r="89" spans="1:14" x14ac:dyDescent="0.35">
      <c r="A89" t="s">
        <v>137</v>
      </c>
      <c r="B89" t="s">
        <v>21</v>
      </c>
      <c r="C89" t="s">
        <v>22</v>
      </c>
      <c r="D89" t="s">
        <v>17</v>
      </c>
      <c r="E89" t="s">
        <v>18</v>
      </c>
      <c r="F89" t="s">
        <v>19</v>
      </c>
      <c r="G89">
        <v>2015</v>
      </c>
      <c r="H89">
        <v>22495</v>
      </c>
      <c r="I89">
        <v>10834</v>
      </c>
      <c r="J89">
        <v>11667</v>
      </c>
      <c r="K89">
        <v>4408</v>
      </c>
      <c r="L89">
        <v>20</v>
      </c>
      <c r="M89">
        <v>18087</v>
      </c>
      <c r="N89">
        <v>80</v>
      </c>
    </row>
    <row r="90" spans="1:14" x14ac:dyDescent="0.35">
      <c r="A90" t="s">
        <v>138</v>
      </c>
      <c r="B90" t="s">
        <v>15</v>
      </c>
      <c r="C90" t="s">
        <v>22</v>
      </c>
      <c r="D90" t="s">
        <v>17</v>
      </c>
      <c r="E90" t="s">
        <v>58</v>
      </c>
      <c r="F90" t="s">
        <v>49</v>
      </c>
      <c r="G90">
        <v>2009</v>
      </c>
      <c r="H90">
        <v>22476</v>
      </c>
      <c r="I90">
        <v>22215</v>
      </c>
      <c r="J90">
        <v>269</v>
      </c>
      <c r="K90">
        <v>22143</v>
      </c>
      <c r="L90">
        <v>99</v>
      </c>
      <c r="M90">
        <v>333</v>
      </c>
      <c r="N90">
        <v>1</v>
      </c>
    </row>
    <row r="91" spans="1:14" x14ac:dyDescent="0.35">
      <c r="A91" t="s">
        <v>139</v>
      </c>
      <c r="B91" t="s">
        <v>79</v>
      </c>
      <c r="C91" t="s">
        <v>22</v>
      </c>
      <c r="D91" t="s">
        <v>17</v>
      </c>
      <c r="E91" t="s">
        <v>140</v>
      </c>
      <c r="F91" t="s">
        <v>49</v>
      </c>
      <c r="G91">
        <v>1949</v>
      </c>
      <c r="H91">
        <v>22236</v>
      </c>
      <c r="I91">
        <v>288</v>
      </c>
      <c r="J91">
        <v>21967</v>
      </c>
      <c r="K91">
        <v>0</v>
      </c>
      <c r="L91">
        <v>0</v>
      </c>
      <c r="M91">
        <v>22236</v>
      </c>
      <c r="N91">
        <v>100</v>
      </c>
    </row>
    <row r="92" spans="1:14" x14ac:dyDescent="0.35">
      <c r="A92" t="s">
        <v>141</v>
      </c>
      <c r="B92" t="s">
        <v>15</v>
      </c>
      <c r="C92" t="s">
        <v>22</v>
      </c>
      <c r="D92" t="s">
        <v>25</v>
      </c>
      <c r="E92" t="s">
        <v>26</v>
      </c>
      <c r="F92" t="s">
        <v>19</v>
      </c>
      <c r="G92">
        <v>2004</v>
      </c>
      <c r="H92">
        <v>21937</v>
      </c>
      <c r="I92">
        <v>8927</v>
      </c>
      <c r="J92">
        <v>13023</v>
      </c>
      <c r="K92">
        <v>3007</v>
      </c>
      <c r="L92">
        <v>14</v>
      </c>
      <c r="M92">
        <v>18930</v>
      </c>
      <c r="N92">
        <v>86</v>
      </c>
    </row>
    <row r="93" spans="1:14" x14ac:dyDescent="0.35">
      <c r="A93" t="s">
        <v>142</v>
      </c>
      <c r="B93" t="s">
        <v>79</v>
      </c>
      <c r="C93" t="s">
        <v>22</v>
      </c>
      <c r="D93" t="s">
        <v>17</v>
      </c>
      <c r="E93" t="s">
        <v>52</v>
      </c>
      <c r="F93" t="s">
        <v>49</v>
      </c>
      <c r="G93">
        <v>1984</v>
      </c>
      <c r="H93">
        <v>21874</v>
      </c>
      <c r="I93">
        <v>21884</v>
      </c>
      <c r="J93">
        <v>0</v>
      </c>
      <c r="K93">
        <v>21872</v>
      </c>
      <c r="L93">
        <v>100</v>
      </c>
      <c r="M93">
        <v>1</v>
      </c>
      <c r="N93">
        <v>0</v>
      </c>
    </row>
    <row r="94" spans="1:14" x14ac:dyDescent="0.35">
      <c r="A94" t="s">
        <v>143</v>
      </c>
      <c r="B94" t="s">
        <v>21</v>
      </c>
      <c r="C94" t="s">
        <v>144</v>
      </c>
      <c r="D94" t="s">
        <v>17</v>
      </c>
      <c r="E94" t="s">
        <v>23</v>
      </c>
      <c r="F94" t="s">
        <v>19</v>
      </c>
      <c r="G94">
        <v>2012</v>
      </c>
      <c r="H94">
        <v>21546</v>
      </c>
      <c r="I94">
        <v>12366</v>
      </c>
      <c r="J94">
        <v>9186</v>
      </c>
      <c r="K94">
        <v>6409</v>
      </c>
      <c r="L94">
        <v>30</v>
      </c>
      <c r="M94">
        <v>15137</v>
      </c>
      <c r="N94">
        <v>70</v>
      </c>
    </row>
    <row r="95" spans="1:14" x14ac:dyDescent="0.35">
      <c r="A95" t="s">
        <v>145</v>
      </c>
      <c r="B95" t="s">
        <v>15</v>
      </c>
      <c r="C95" t="s">
        <v>22</v>
      </c>
      <c r="D95" t="s">
        <v>17</v>
      </c>
      <c r="E95" t="s">
        <v>18</v>
      </c>
      <c r="F95" t="s">
        <v>49</v>
      </c>
      <c r="G95">
        <v>2014</v>
      </c>
      <c r="H95">
        <v>21202</v>
      </c>
      <c r="I95">
        <v>20357</v>
      </c>
      <c r="J95">
        <v>852</v>
      </c>
      <c r="K95">
        <v>16647</v>
      </c>
      <c r="L95">
        <v>79</v>
      </c>
      <c r="M95">
        <v>4555</v>
      </c>
      <c r="N95">
        <v>21</v>
      </c>
    </row>
    <row r="96" spans="1:14" x14ac:dyDescent="0.35">
      <c r="A96" t="s">
        <v>146</v>
      </c>
      <c r="B96" t="s">
        <v>79</v>
      </c>
      <c r="C96" t="s">
        <v>22</v>
      </c>
      <c r="D96" t="s">
        <v>17</v>
      </c>
      <c r="E96" t="s">
        <v>23</v>
      </c>
      <c r="F96" t="s">
        <v>49</v>
      </c>
      <c r="G96">
        <v>2007</v>
      </c>
      <c r="H96">
        <v>21182</v>
      </c>
      <c r="I96">
        <v>19519</v>
      </c>
      <c r="J96">
        <v>1670</v>
      </c>
      <c r="K96">
        <v>17507</v>
      </c>
      <c r="L96">
        <v>83</v>
      </c>
      <c r="M96">
        <v>3676</v>
      </c>
      <c r="N96">
        <v>17</v>
      </c>
    </row>
    <row r="97" spans="1:14" x14ac:dyDescent="0.35">
      <c r="A97" t="s">
        <v>147</v>
      </c>
      <c r="B97" t="s">
        <v>15</v>
      </c>
      <c r="C97" t="s">
        <v>148</v>
      </c>
      <c r="D97" t="s">
        <v>17</v>
      </c>
      <c r="E97" t="s">
        <v>61</v>
      </c>
      <c r="F97" t="s">
        <v>19</v>
      </c>
      <c r="G97">
        <v>2006</v>
      </c>
      <c r="H97">
        <v>21004</v>
      </c>
      <c r="I97">
        <v>20142</v>
      </c>
      <c r="J97">
        <v>867</v>
      </c>
      <c r="K97">
        <v>14180</v>
      </c>
      <c r="L97">
        <v>68</v>
      </c>
      <c r="M97">
        <v>6824</v>
      </c>
      <c r="N97">
        <v>32</v>
      </c>
    </row>
    <row r="98" spans="1:14" x14ac:dyDescent="0.35">
      <c r="A98" t="s">
        <v>149</v>
      </c>
      <c r="B98" t="s">
        <v>15</v>
      </c>
      <c r="C98" t="s">
        <v>22</v>
      </c>
      <c r="D98" t="s">
        <v>17</v>
      </c>
      <c r="E98" t="s">
        <v>61</v>
      </c>
      <c r="F98" t="s">
        <v>19</v>
      </c>
      <c r="G98">
        <v>2002</v>
      </c>
      <c r="H98">
        <v>20671</v>
      </c>
      <c r="I98">
        <v>5352</v>
      </c>
      <c r="J98">
        <v>15318</v>
      </c>
      <c r="K98">
        <v>32</v>
      </c>
      <c r="L98">
        <v>0</v>
      </c>
      <c r="M98">
        <v>20638</v>
      </c>
      <c r="N98">
        <v>100</v>
      </c>
    </row>
    <row r="99" spans="1:14" x14ac:dyDescent="0.35">
      <c r="A99" t="s">
        <v>150</v>
      </c>
      <c r="B99" t="s">
        <v>15</v>
      </c>
      <c r="C99" t="s">
        <v>22</v>
      </c>
      <c r="D99" t="s">
        <v>17</v>
      </c>
      <c r="E99" t="s">
        <v>18</v>
      </c>
      <c r="F99" t="s">
        <v>19</v>
      </c>
      <c r="G99">
        <v>1993</v>
      </c>
      <c r="H99">
        <v>20645</v>
      </c>
      <c r="I99">
        <v>7762</v>
      </c>
      <c r="J99">
        <v>12891</v>
      </c>
      <c r="K99">
        <v>1744</v>
      </c>
      <c r="L99">
        <v>8</v>
      </c>
      <c r="M99">
        <v>18901</v>
      </c>
      <c r="N99">
        <v>92</v>
      </c>
    </row>
    <row r="100" spans="1:14" x14ac:dyDescent="0.35">
      <c r="A100" t="s">
        <v>151</v>
      </c>
      <c r="B100" t="s">
        <v>15</v>
      </c>
      <c r="C100" t="s">
        <v>22</v>
      </c>
      <c r="D100" t="s">
        <v>25</v>
      </c>
      <c r="E100" t="s">
        <v>152</v>
      </c>
      <c r="F100" t="s">
        <v>19</v>
      </c>
      <c r="G100">
        <v>2011</v>
      </c>
      <c r="H100">
        <v>20549</v>
      </c>
      <c r="I100">
        <v>14250</v>
      </c>
      <c r="J100">
        <v>6311</v>
      </c>
      <c r="K100">
        <v>8226</v>
      </c>
      <c r="L100">
        <v>40</v>
      </c>
      <c r="M100">
        <v>12324</v>
      </c>
      <c r="N100">
        <v>60</v>
      </c>
    </row>
    <row r="101" spans="1:14" x14ac:dyDescent="0.35">
      <c r="A101" t="s">
        <v>153</v>
      </c>
      <c r="B101" t="s">
        <v>15</v>
      </c>
      <c r="C101" t="s">
        <v>22</v>
      </c>
      <c r="D101" t="s">
        <v>17</v>
      </c>
      <c r="E101" t="s">
        <v>18</v>
      </c>
      <c r="F101" t="s">
        <v>19</v>
      </c>
      <c r="G101">
        <v>2003</v>
      </c>
      <c r="H101">
        <v>20445</v>
      </c>
      <c r="I101">
        <v>14112</v>
      </c>
      <c r="J101">
        <v>6342</v>
      </c>
      <c r="K101">
        <v>8484</v>
      </c>
      <c r="L101">
        <v>41</v>
      </c>
      <c r="M101">
        <v>11960</v>
      </c>
      <c r="N101">
        <v>59</v>
      </c>
    </row>
    <row r="102" spans="1:14" x14ac:dyDescent="0.35">
      <c r="A102" t="s">
        <v>154</v>
      </c>
      <c r="B102" t="s">
        <v>15</v>
      </c>
      <c r="C102" t="s">
        <v>90</v>
      </c>
      <c r="D102" t="s">
        <v>25</v>
      </c>
      <c r="E102" t="s">
        <v>91</v>
      </c>
      <c r="F102" t="s">
        <v>19</v>
      </c>
      <c r="G102">
        <v>2018</v>
      </c>
      <c r="H102">
        <v>20301</v>
      </c>
      <c r="I102">
        <v>13993</v>
      </c>
      <c r="J102">
        <v>6316</v>
      </c>
      <c r="K102">
        <v>7574</v>
      </c>
      <c r="L102">
        <v>37</v>
      </c>
      <c r="M102">
        <v>12726</v>
      </c>
      <c r="N102">
        <v>63</v>
      </c>
    </row>
    <row r="103" spans="1:14" x14ac:dyDescent="0.35">
      <c r="A103" t="s">
        <v>155</v>
      </c>
      <c r="B103" t="s">
        <v>15</v>
      </c>
      <c r="C103" t="s">
        <v>22</v>
      </c>
      <c r="D103" t="s">
        <v>17</v>
      </c>
      <c r="E103" t="s">
        <v>18</v>
      </c>
      <c r="F103" t="s">
        <v>19</v>
      </c>
      <c r="G103">
        <v>2015</v>
      </c>
      <c r="H103">
        <v>20138</v>
      </c>
      <c r="I103">
        <v>15306</v>
      </c>
      <c r="J103">
        <v>4842</v>
      </c>
      <c r="K103">
        <v>13559</v>
      </c>
      <c r="L103">
        <v>67</v>
      </c>
      <c r="M103">
        <v>6580</v>
      </c>
      <c r="N103">
        <v>33</v>
      </c>
    </row>
    <row r="104" spans="1:14" x14ac:dyDescent="0.35">
      <c r="A104" t="s">
        <v>156</v>
      </c>
      <c r="B104" t="s">
        <v>15</v>
      </c>
      <c r="C104" t="s">
        <v>22</v>
      </c>
      <c r="D104" t="s">
        <v>17</v>
      </c>
      <c r="E104" t="s">
        <v>18</v>
      </c>
      <c r="F104" t="s">
        <v>19</v>
      </c>
      <c r="G104">
        <v>2007</v>
      </c>
      <c r="H104">
        <v>20091</v>
      </c>
      <c r="I104">
        <v>18766</v>
      </c>
      <c r="J104">
        <v>1328</v>
      </c>
      <c r="K104">
        <v>12865</v>
      </c>
      <c r="L104">
        <v>64</v>
      </c>
      <c r="M104">
        <v>7226</v>
      </c>
      <c r="N104">
        <v>36</v>
      </c>
    </row>
    <row r="105" spans="1:14" x14ac:dyDescent="0.35">
      <c r="A105" t="s">
        <v>157</v>
      </c>
      <c r="B105" t="s">
        <v>15</v>
      </c>
      <c r="C105" t="s">
        <v>22</v>
      </c>
      <c r="D105" t="s">
        <v>17</v>
      </c>
      <c r="E105" t="s">
        <v>18</v>
      </c>
      <c r="F105" t="s">
        <v>19</v>
      </c>
      <c r="G105">
        <v>2015</v>
      </c>
      <c r="H105">
        <v>19978</v>
      </c>
      <c r="I105">
        <v>9365</v>
      </c>
      <c r="J105">
        <v>10617</v>
      </c>
      <c r="K105">
        <v>5320</v>
      </c>
      <c r="L105">
        <v>27</v>
      </c>
      <c r="M105">
        <v>14657</v>
      </c>
      <c r="N105">
        <v>73</v>
      </c>
    </row>
    <row r="106" spans="1:14" x14ac:dyDescent="0.35">
      <c r="A106" t="s">
        <v>158</v>
      </c>
      <c r="B106" t="s">
        <v>15</v>
      </c>
      <c r="C106" t="s">
        <v>22</v>
      </c>
      <c r="D106" t="s">
        <v>17</v>
      </c>
      <c r="E106" t="s">
        <v>18</v>
      </c>
      <c r="F106" t="s">
        <v>19</v>
      </c>
      <c r="G106">
        <v>2017</v>
      </c>
      <c r="H106">
        <v>19830</v>
      </c>
      <c r="I106">
        <v>12352</v>
      </c>
      <c r="J106">
        <v>7494</v>
      </c>
      <c r="K106">
        <v>8303</v>
      </c>
      <c r="L106">
        <v>42</v>
      </c>
      <c r="M106">
        <v>11528</v>
      </c>
      <c r="N106">
        <v>58</v>
      </c>
    </row>
    <row r="107" spans="1:14" x14ac:dyDescent="0.35">
      <c r="A107" t="s">
        <v>159</v>
      </c>
      <c r="B107" t="s">
        <v>15</v>
      </c>
      <c r="C107" t="s">
        <v>22</v>
      </c>
      <c r="D107" t="s">
        <v>17</v>
      </c>
      <c r="E107" t="s">
        <v>99</v>
      </c>
      <c r="F107" t="s">
        <v>19</v>
      </c>
      <c r="G107">
        <v>2019</v>
      </c>
      <c r="H107">
        <v>19727</v>
      </c>
      <c r="I107">
        <v>19691</v>
      </c>
      <c r="J107">
        <v>47</v>
      </c>
      <c r="K107">
        <v>15839</v>
      </c>
      <c r="L107">
        <v>80</v>
      </c>
      <c r="M107">
        <v>3888</v>
      </c>
      <c r="N107">
        <v>20</v>
      </c>
    </row>
    <row r="108" spans="1:14" x14ac:dyDescent="0.35">
      <c r="A108" t="s">
        <v>160</v>
      </c>
      <c r="B108" t="s">
        <v>15</v>
      </c>
      <c r="C108" t="s">
        <v>161</v>
      </c>
      <c r="D108" t="s">
        <v>17</v>
      </c>
      <c r="E108" t="s">
        <v>61</v>
      </c>
      <c r="F108" t="s">
        <v>19</v>
      </c>
      <c r="G108">
        <v>2013</v>
      </c>
      <c r="H108">
        <v>19708</v>
      </c>
      <c r="I108">
        <v>17830</v>
      </c>
      <c r="J108">
        <v>1883</v>
      </c>
      <c r="K108">
        <v>251</v>
      </c>
      <c r="L108">
        <v>1</v>
      </c>
      <c r="M108">
        <v>19457</v>
      </c>
      <c r="N108">
        <v>99</v>
      </c>
    </row>
    <row r="109" spans="1:14" x14ac:dyDescent="0.35">
      <c r="A109" t="s">
        <v>162</v>
      </c>
      <c r="B109" t="s">
        <v>15</v>
      </c>
      <c r="C109" t="s">
        <v>163</v>
      </c>
      <c r="D109" t="s">
        <v>25</v>
      </c>
      <c r="E109" t="s">
        <v>26</v>
      </c>
      <c r="F109" t="s">
        <v>19</v>
      </c>
      <c r="G109">
        <v>2014</v>
      </c>
      <c r="H109">
        <v>19528</v>
      </c>
      <c r="I109">
        <v>7513</v>
      </c>
      <c r="J109">
        <v>12015</v>
      </c>
      <c r="K109">
        <v>2398</v>
      </c>
      <c r="L109">
        <v>12</v>
      </c>
      <c r="M109">
        <v>17130</v>
      </c>
      <c r="N109">
        <v>88</v>
      </c>
    </row>
    <row r="110" spans="1:14" x14ac:dyDescent="0.35">
      <c r="A110" t="s">
        <v>164</v>
      </c>
      <c r="B110" t="s">
        <v>15</v>
      </c>
      <c r="C110" t="s">
        <v>22</v>
      </c>
      <c r="D110" t="s">
        <v>17</v>
      </c>
      <c r="E110" t="s">
        <v>58</v>
      </c>
      <c r="F110" t="s">
        <v>49</v>
      </c>
      <c r="G110">
        <v>2011</v>
      </c>
      <c r="H110">
        <v>19440</v>
      </c>
      <c r="I110">
        <v>19436</v>
      </c>
      <c r="J110">
        <v>14</v>
      </c>
      <c r="K110">
        <v>18794</v>
      </c>
      <c r="L110">
        <v>97</v>
      </c>
      <c r="M110">
        <v>647</v>
      </c>
      <c r="N110">
        <v>3</v>
      </c>
    </row>
    <row r="111" spans="1:14" x14ac:dyDescent="0.35">
      <c r="A111" t="s">
        <v>165</v>
      </c>
      <c r="B111" t="s">
        <v>15</v>
      </c>
      <c r="C111" t="s">
        <v>22</v>
      </c>
      <c r="D111" t="s">
        <v>17</v>
      </c>
      <c r="E111" t="s">
        <v>18</v>
      </c>
      <c r="F111" t="s">
        <v>19</v>
      </c>
      <c r="G111">
        <v>2008</v>
      </c>
      <c r="H111">
        <v>19384</v>
      </c>
      <c r="I111">
        <v>2977</v>
      </c>
      <c r="J111">
        <v>16406</v>
      </c>
      <c r="K111">
        <v>810</v>
      </c>
      <c r="L111">
        <v>4</v>
      </c>
      <c r="M111">
        <v>18574</v>
      </c>
      <c r="N111">
        <v>96</v>
      </c>
    </row>
    <row r="112" spans="1:14" x14ac:dyDescent="0.35">
      <c r="A112" t="s">
        <v>166</v>
      </c>
      <c r="B112" t="s">
        <v>15</v>
      </c>
      <c r="C112" t="s">
        <v>167</v>
      </c>
      <c r="D112" t="s">
        <v>168</v>
      </c>
      <c r="E112" t="s">
        <v>169</v>
      </c>
      <c r="F112" t="s">
        <v>49</v>
      </c>
      <c r="G112">
        <v>2008</v>
      </c>
      <c r="H112">
        <v>19232</v>
      </c>
      <c r="I112">
        <v>15881</v>
      </c>
      <c r="J112">
        <v>3360</v>
      </c>
      <c r="K112">
        <v>15399</v>
      </c>
      <c r="L112">
        <v>80</v>
      </c>
      <c r="M112">
        <v>3832</v>
      </c>
      <c r="N112">
        <v>20</v>
      </c>
    </row>
    <row r="113" spans="1:14" x14ac:dyDescent="0.35">
      <c r="A113" t="s">
        <v>170</v>
      </c>
      <c r="B113" t="s">
        <v>15</v>
      </c>
      <c r="C113" t="s">
        <v>22</v>
      </c>
      <c r="D113" t="s">
        <v>17</v>
      </c>
      <c r="E113" t="s">
        <v>99</v>
      </c>
      <c r="F113" t="s">
        <v>19</v>
      </c>
      <c r="G113">
        <v>2014</v>
      </c>
      <c r="H113">
        <v>19102</v>
      </c>
      <c r="I113">
        <v>17465</v>
      </c>
      <c r="J113">
        <v>1647</v>
      </c>
      <c r="K113">
        <v>16648</v>
      </c>
      <c r="L113">
        <v>87</v>
      </c>
      <c r="M113">
        <v>2454</v>
      </c>
      <c r="N113">
        <v>13</v>
      </c>
    </row>
    <row r="114" spans="1:14" x14ac:dyDescent="0.35">
      <c r="A114" t="s">
        <v>171</v>
      </c>
      <c r="B114" t="s">
        <v>15</v>
      </c>
      <c r="C114" t="s">
        <v>34</v>
      </c>
      <c r="D114" t="s">
        <v>17</v>
      </c>
      <c r="E114" t="s">
        <v>52</v>
      </c>
      <c r="F114" t="s">
        <v>19</v>
      </c>
      <c r="G114">
        <v>1969</v>
      </c>
      <c r="H114">
        <v>19090</v>
      </c>
      <c r="I114">
        <v>17435</v>
      </c>
      <c r="J114">
        <v>1662</v>
      </c>
      <c r="K114">
        <v>12211</v>
      </c>
      <c r="L114">
        <v>64</v>
      </c>
      <c r="M114">
        <v>6879</v>
      </c>
      <c r="N114">
        <v>36</v>
      </c>
    </row>
    <row r="115" spans="1:14" x14ac:dyDescent="0.35">
      <c r="A115" t="s">
        <v>172</v>
      </c>
      <c r="B115" t="s">
        <v>15</v>
      </c>
      <c r="C115" t="s">
        <v>43</v>
      </c>
      <c r="D115" t="s">
        <v>25</v>
      </c>
      <c r="E115" t="s">
        <v>83</v>
      </c>
      <c r="F115" t="s">
        <v>19</v>
      </c>
      <c r="G115">
        <v>2016</v>
      </c>
      <c r="H115">
        <v>18913</v>
      </c>
      <c r="I115">
        <v>8491</v>
      </c>
      <c r="J115">
        <v>10429</v>
      </c>
      <c r="K115">
        <v>5717</v>
      </c>
      <c r="L115">
        <v>30</v>
      </c>
      <c r="M115">
        <v>13196</v>
      </c>
      <c r="N115">
        <v>70</v>
      </c>
    </row>
    <row r="116" spans="1:14" x14ac:dyDescent="0.35">
      <c r="A116" t="s">
        <v>173</v>
      </c>
      <c r="B116" t="s">
        <v>15</v>
      </c>
      <c r="C116" t="s">
        <v>22</v>
      </c>
      <c r="D116" t="s">
        <v>17</v>
      </c>
      <c r="E116" t="s">
        <v>18</v>
      </c>
      <c r="F116" t="s">
        <v>19</v>
      </c>
      <c r="G116">
        <v>2016</v>
      </c>
      <c r="H116">
        <v>18890</v>
      </c>
      <c r="I116">
        <v>11763</v>
      </c>
      <c r="J116">
        <v>7127</v>
      </c>
      <c r="K116">
        <v>5822</v>
      </c>
      <c r="L116">
        <v>31</v>
      </c>
      <c r="M116">
        <v>13068</v>
      </c>
      <c r="N116">
        <v>69</v>
      </c>
    </row>
    <row r="117" spans="1:14" x14ac:dyDescent="0.35">
      <c r="A117" t="s">
        <v>174</v>
      </c>
      <c r="B117" t="s">
        <v>21</v>
      </c>
      <c r="C117" t="s">
        <v>16</v>
      </c>
      <c r="D117" t="s">
        <v>17</v>
      </c>
      <c r="E117" t="s">
        <v>23</v>
      </c>
      <c r="F117" t="s">
        <v>19</v>
      </c>
      <c r="G117">
        <v>2017</v>
      </c>
      <c r="H117">
        <v>18707</v>
      </c>
      <c r="I117">
        <v>16894</v>
      </c>
      <c r="J117">
        <v>1823</v>
      </c>
      <c r="K117">
        <v>15281</v>
      </c>
      <c r="L117">
        <v>82</v>
      </c>
      <c r="M117">
        <v>3426</v>
      </c>
      <c r="N117">
        <v>18</v>
      </c>
    </row>
    <row r="118" spans="1:14" x14ac:dyDescent="0.35">
      <c r="A118" t="s">
        <v>175</v>
      </c>
      <c r="B118" t="s">
        <v>15</v>
      </c>
      <c r="C118" t="s">
        <v>22</v>
      </c>
      <c r="D118" t="s">
        <v>17</v>
      </c>
      <c r="E118" t="s">
        <v>18</v>
      </c>
      <c r="F118" t="s">
        <v>19</v>
      </c>
      <c r="G118">
        <v>2014</v>
      </c>
      <c r="H118">
        <v>18650</v>
      </c>
      <c r="I118">
        <v>17855</v>
      </c>
      <c r="J118">
        <v>801</v>
      </c>
      <c r="K118">
        <v>9453</v>
      </c>
      <c r="L118">
        <v>51</v>
      </c>
      <c r="M118">
        <v>9197</v>
      </c>
      <c r="N118">
        <v>49</v>
      </c>
    </row>
    <row r="119" spans="1:14" x14ac:dyDescent="0.35">
      <c r="A119" t="s">
        <v>176</v>
      </c>
      <c r="B119" t="s">
        <v>15</v>
      </c>
      <c r="C119" t="s">
        <v>22</v>
      </c>
      <c r="D119" t="s">
        <v>17</v>
      </c>
      <c r="E119" t="s">
        <v>52</v>
      </c>
      <c r="F119" t="s">
        <v>49</v>
      </c>
      <c r="G119">
        <v>1983</v>
      </c>
      <c r="H119">
        <v>18627</v>
      </c>
      <c r="I119">
        <v>18557</v>
      </c>
      <c r="J119">
        <v>78</v>
      </c>
      <c r="K119">
        <v>18283</v>
      </c>
      <c r="L119">
        <v>98</v>
      </c>
      <c r="M119">
        <v>344</v>
      </c>
      <c r="N119">
        <v>2</v>
      </c>
    </row>
    <row r="120" spans="1:14" x14ac:dyDescent="0.35">
      <c r="A120" t="s">
        <v>177</v>
      </c>
      <c r="B120" t="s">
        <v>15</v>
      </c>
      <c r="C120" t="s">
        <v>22</v>
      </c>
      <c r="D120" t="s">
        <v>25</v>
      </c>
      <c r="E120" t="s">
        <v>26</v>
      </c>
      <c r="F120" t="s">
        <v>19</v>
      </c>
      <c r="G120">
        <v>2003</v>
      </c>
      <c r="H120">
        <v>18581</v>
      </c>
      <c r="I120">
        <v>14991</v>
      </c>
      <c r="J120">
        <v>3601</v>
      </c>
      <c r="K120">
        <v>8322</v>
      </c>
      <c r="L120">
        <v>45</v>
      </c>
      <c r="M120">
        <v>10259</v>
      </c>
      <c r="N120">
        <v>55</v>
      </c>
    </row>
    <row r="121" spans="1:14" x14ac:dyDescent="0.35">
      <c r="A121" t="s">
        <v>178</v>
      </c>
      <c r="B121" t="s">
        <v>15</v>
      </c>
      <c r="C121" t="s">
        <v>22</v>
      </c>
      <c r="D121" t="s">
        <v>17</v>
      </c>
      <c r="E121" t="s">
        <v>28</v>
      </c>
      <c r="F121" t="s">
        <v>19</v>
      </c>
      <c r="G121">
        <v>1994</v>
      </c>
      <c r="H121">
        <v>18413</v>
      </c>
      <c r="I121">
        <v>12525</v>
      </c>
      <c r="J121">
        <v>5896</v>
      </c>
      <c r="K121">
        <v>5222</v>
      </c>
      <c r="L121">
        <v>28</v>
      </c>
      <c r="M121">
        <v>13191</v>
      </c>
      <c r="N121">
        <v>72</v>
      </c>
    </row>
    <row r="122" spans="1:14" x14ac:dyDescent="0.35">
      <c r="A122" t="s">
        <v>179</v>
      </c>
      <c r="B122" t="s">
        <v>15</v>
      </c>
      <c r="C122" t="s">
        <v>22</v>
      </c>
      <c r="D122" t="s">
        <v>17</v>
      </c>
      <c r="E122" t="s">
        <v>23</v>
      </c>
      <c r="F122" t="s">
        <v>19</v>
      </c>
      <c r="G122">
        <v>2015</v>
      </c>
      <c r="H122">
        <v>18309</v>
      </c>
      <c r="I122">
        <v>14642</v>
      </c>
      <c r="J122">
        <v>3673</v>
      </c>
      <c r="K122">
        <v>8614</v>
      </c>
      <c r="L122">
        <v>47</v>
      </c>
      <c r="M122">
        <v>9696</v>
      </c>
      <c r="N122">
        <v>53</v>
      </c>
    </row>
    <row r="123" spans="1:14" x14ac:dyDescent="0.35">
      <c r="A123" t="s">
        <v>180</v>
      </c>
      <c r="B123" t="s">
        <v>15</v>
      </c>
      <c r="C123" t="s">
        <v>22</v>
      </c>
      <c r="D123" t="s">
        <v>17</v>
      </c>
      <c r="E123" t="s">
        <v>23</v>
      </c>
      <c r="F123" t="s">
        <v>19</v>
      </c>
      <c r="G123">
        <v>2002</v>
      </c>
      <c r="H123">
        <v>18271</v>
      </c>
      <c r="I123">
        <v>13166</v>
      </c>
      <c r="J123">
        <v>5115</v>
      </c>
      <c r="K123">
        <v>8899</v>
      </c>
      <c r="L123">
        <v>49</v>
      </c>
      <c r="M123">
        <v>9372</v>
      </c>
      <c r="N123">
        <v>51</v>
      </c>
    </row>
    <row r="124" spans="1:14" x14ac:dyDescent="0.35">
      <c r="A124" t="s">
        <v>181</v>
      </c>
      <c r="B124" t="s">
        <v>15</v>
      </c>
      <c r="C124" t="s">
        <v>182</v>
      </c>
      <c r="D124" t="s">
        <v>17</v>
      </c>
      <c r="E124" t="s">
        <v>61</v>
      </c>
      <c r="F124" t="s">
        <v>19</v>
      </c>
      <c r="G124">
        <v>1994</v>
      </c>
      <c r="H124">
        <v>18217</v>
      </c>
      <c r="I124">
        <v>13653</v>
      </c>
      <c r="J124">
        <v>4569</v>
      </c>
      <c r="K124">
        <v>3490</v>
      </c>
      <c r="L124">
        <v>19</v>
      </c>
      <c r="M124">
        <v>14727</v>
      </c>
      <c r="N124">
        <v>81</v>
      </c>
    </row>
    <row r="125" spans="1:14" x14ac:dyDescent="0.35">
      <c r="A125" t="s">
        <v>183</v>
      </c>
      <c r="B125" t="s">
        <v>15</v>
      </c>
      <c r="C125" t="s">
        <v>184</v>
      </c>
      <c r="D125" t="s">
        <v>17</v>
      </c>
      <c r="E125" t="s">
        <v>185</v>
      </c>
      <c r="F125" t="s">
        <v>19</v>
      </c>
      <c r="G125">
        <v>1996</v>
      </c>
      <c r="H125">
        <v>18203</v>
      </c>
      <c r="I125">
        <v>9675</v>
      </c>
      <c r="J125">
        <v>8539</v>
      </c>
      <c r="K125">
        <v>4461</v>
      </c>
      <c r="L125">
        <v>25</v>
      </c>
      <c r="M125">
        <v>13743</v>
      </c>
      <c r="N125">
        <v>75</v>
      </c>
    </row>
    <row r="126" spans="1:14" x14ac:dyDescent="0.35">
      <c r="A126" t="s">
        <v>186</v>
      </c>
      <c r="B126" t="s">
        <v>15</v>
      </c>
      <c r="C126" t="s">
        <v>22</v>
      </c>
      <c r="D126" t="s">
        <v>17</v>
      </c>
      <c r="E126" t="s">
        <v>18</v>
      </c>
      <c r="F126" t="s">
        <v>19</v>
      </c>
      <c r="G126">
        <v>2008</v>
      </c>
      <c r="H126">
        <v>18064</v>
      </c>
      <c r="I126">
        <v>7403</v>
      </c>
      <c r="J126">
        <v>10665</v>
      </c>
      <c r="K126">
        <v>2757</v>
      </c>
      <c r="L126">
        <v>15</v>
      </c>
      <c r="M126">
        <v>15307</v>
      </c>
      <c r="N126">
        <v>85</v>
      </c>
    </row>
    <row r="127" spans="1:14" x14ac:dyDescent="0.35">
      <c r="A127" t="s">
        <v>187</v>
      </c>
      <c r="B127" t="s">
        <v>21</v>
      </c>
      <c r="C127" t="s">
        <v>43</v>
      </c>
      <c r="D127" t="s">
        <v>17</v>
      </c>
      <c r="E127" t="s">
        <v>28</v>
      </c>
      <c r="F127" t="s">
        <v>19</v>
      </c>
      <c r="G127">
        <v>2012</v>
      </c>
      <c r="H127">
        <v>18005</v>
      </c>
      <c r="I127">
        <v>10367</v>
      </c>
      <c r="J127">
        <v>7647</v>
      </c>
      <c r="K127">
        <v>7259</v>
      </c>
      <c r="L127">
        <v>40</v>
      </c>
      <c r="M127">
        <v>10746</v>
      </c>
      <c r="N127">
        <v>60</v>
      </c>
    </row>
    <row r="128" spans="1:14" x14ac:dyDescent="0.35">
      <c r="A128" t="s">
        <v>188</v>
      </c>
      <c r="B128" t="s">
        <v>15</v>
      </c>
      <c r="C128" t="s">
        <v>22</v>
      </c>
      <c r="D128" t="s">
        <v>17</v>
      </c>
      <c r="E128" t="s">
        <v>18</v>
      </c>
      <c r="F128" t="s">
        <v>19</v>
      </c>
      <c r="G128">
        <v>2009</v>
      </c>
      <c r="H128">
        <v>17739</v>
      </c>
      <c r="I128">
        <v>11748</v>
      </c>
      <c r="J128">
        <v>5997</v>
      </c>
      <c r="K128">
        <v>7693</v>
      </c>
      <c r="L128">
        <v>43</v>
      </c>
      <c r="M128">
        <v>10045</v>
      </c>
      <c r="N128">
        <v>57</v>
      </c>
    </row>
    <row r="129" spans="1:14" x14ac:dyDescent="0.35">
      <c r="A129" t="s">
        <v>189</v>
      </c>
      <c r="B129" t="s">
        <v>15</v>
      </c>
      <c r="C129" t="s">
        <v>22</v>
      </c>
      <c r="D129" t="s">
        <v>17</v>
      </c>
      <c r="E129" t="s">
        <v>23</v>
      </c>
      <c r="F129" t="s">
        <v>19</v>
      </c>
      <c r="G129">
        <v>2009</v>
      </c>
      <c r="H129">
        <v>17720</v>
      </c>
      <c r="I129">
        <v>13610</v>
      </c>
      <c r="J129">
        <v>4116</v>
      </c>
      <c r="K129">
        <v>8343</v>
      </c>
      <c r="L129">
        <v>47</v>
      </c>
      <c r="M129">
        <v>9378</v>
      </c>
      <c r="N129">
        <v>53</v>
      </c>
    </row>
    <row r="130" spans="1:14" x14ac:dyDescent="0.35">
      <c r="A130" t="s">
        <v>190</v>
      </c>
      <c r="B130" t="s">
        <v>21</v>
      </c>
      <c r="C130" t="s">
        <v>46</v>
      </c>
      <c r="D130" t="s">
        <v>47</v>
      </c>
      <c r="E130" t="s">
        <v>48</v>
      </c>
      <c r="F130" t="s">
        <v>49</v>
      </c>
      <c r="G130">
        <v>2016</v>
      </c>
      <c r="H130">
        <v>17517</v>
      </c>
      <c r="I130">
        <v>7595</v>
      </c>
      <c r="J130">
        <v>9928</v>
      </c>
      <c r="K130">
        <v>15415</v>
      </c>
      <c r="L130">
        <v>88</v>
      </c>
      <c r="M130">
        <v>2102</v>
      </c>
      <c r="N130">
        <v>12</v>
      </c>
    </row>
    <row r="131" spans="1:14" x14ac:dyDescent="0.35">
      <c r="A131" t="s">
        <v>191</v>
      </c>
      <c r="B131" t="s">
        <v>15</v>
      </c>
      <c r="C131" t="s">
        <v>22</v>
      </c>
      <c r="D131" t="s">
        <v>25</v>
      </c>
      <c r="E131" t="s">
        <v>26</v>
      </c>
      <c r="F131" t="s">
        <v>19</v>
      </c>
      <c r="G131">
        <v>2017</v>
      </c>
      <c r="H131">
        <v>17516</v>
      </c>
      <c r="I131">
        <v>16311</v>
      </c>
      <c r="J131">
        <v>1211</v>
      </c>
      <c r="K131">
        <v>2138</v>
      </c>
      <c r="L131">
        <v>12</v>
      </c>
      <c r="M131">
        <v>15378</v>
      </c>
      <c r="N131">
        <v>88</v>
      </c>
    </row>
    <row r="132" spans="1:14" x14ac:dyDescent="0.35">
      <c r="A132" t="s">
        <v>192</v>
      </c>
      <c r="B132" t="s">
        <v>21</v>
      </c>
      <c r="C132" t="s">
        <v>22</v>
      </c>
      <c r="D132" t="s">
        <v>17</v>
      </c>
      <c r="E132" t="s">
        <v>23</v>
      </c>
      <c r="F132" t="s">
        <v>19</v>
      </c>
      <c r="G132">
        <v>2014</v>
      </c>
      <c r="H132">
        <v>17440</v>
      </c>
      <c r="I132">
        <v>5933</v>
      </c>
      <c r="J132">
        <v>11512</v>
      </c>
      <c r="K132">
        <v>2784</v>
      </c>
      <c r="L132">
        <v>16</v>
      </c>
      <c r="M132">
        <v>14656</v>
      </c>
      <c r="N132">
        <v>84</v>
      </c>
    </row>
    <row r="133" spans="1:14" x14ac:dyDescent="0.35">
      <c r="A133" t="s">
        <v>193</v>
      </c>
      <c r="B133" t="s">
        <v>15</v>
      </c>
      <c r="C133" t="s">
        <v>60</v>
      </c>
      <c r="D133" t="s">
        <v>17</v>
      </c>
      <c r="E133" t="s">
        <v>61</v>
      </c>
      <c r="F133" t="s">
        <v>49</v>
      </c>
      <c r="G133">
        <v>1994</v>
      </c>
      <c r="H133">
        <v>17317</v>
      </c>
      <c r="I133">
        <v>10310</v>
      </c>
      <c r="J133">
        <v>7014</v>
      </c>
      <c r="K133">
        <v>6283</v>
      </c>
      <c r="L133">
        <v>36</v>
      </c>
      <c r="M133">
        <v>11034</v>
      </c>
      <c r="N133">
        <v>64</v>
      </c>
    </row>
    <row r="134" spans="1:14" x14ac:dyDescent="0.35">
      <c r="A134" t="s">
        <v>194</v>
      </c>
      <c r="B134" t="s">
        <v>15</v>
      </c>
      <c r="C134" t="s">
        <v>90</v>
      </c>
      <c r="D134" t="s">
        <v>25</v>
      </c>
      <c r="E134" t="s">
        <v>83</v>
      </c>
      <c r="F134" t="s">
        <v>19</v>
      </c>
      <c r="G134">
        <v>1982</v>
      </c>
      <c r="H134">
        <v>17314</v>
      </c>
      <c r="I134">
        <v>17302</v>
      </c>
      <c r="J134">
        <v>20</v>
      </c>
      <c r="K134">
        <v>17281</v>
      </c>
      <c r="L134">
        <v>100</v>
      </c>
      <c r="M134">
        <v>33</v>
      </c>
      <c r="N134">
        <v>0</v>
      </c>
    </row>
    <row r="135" spans="1:14" x14ac:dyDescent="0.35">
      <c r="A135" t="s">
        <v>195</v>
      </c>
      <c r="B135" t="s">
        <v>21</v>
      </c>
      <c r="C135" t="s">
        <v>22</v>
      </c>
      <c r="D135" t="s">
        <v>17</v>
      </c>
      <c r="E135" t="s">
        <v>23</v>
      </c>
      <c r="F135" t="s">
        <v>19</v>
      </c>
      <c r="G135">
        <v>2008</v>
      </c>
      <c r="H135">
        <v>17120</v>
      </c>
      <c r="I135">
        <v>11626</v>
      </c>
      <c r="J135">
        <v>5499</v>
      </c>
      <c r="K135">
        <v>10006</v>
      </c>
      <c r="L135">
        <v>58</v>
      </c>
      <c r="M135">
        <v>7114</v>
      </c>
      <c r="N135">
        <v>42</v>
      </c>
    </row>
    <row r="136" spans="1:14" x14ac:dyDescent="0.35">
      <c r="A136" t="s">
        <v>196</v>
      </c>
      <c r="B136" t="s">
        <v>15</v>
      </c>
      <c r="C136" t="s">
        <v>197</v>
      </c>
      <c r="D136" t="s">
        <v>17</v>
      </c>
      <c r="E136" t="s">
        <v>28</v>
      </c>
      <c r="F136" t="s">
        <v>19</v>
      </c>
      <c r="G136">
        <v>2004</v>
      </c>
      <c r="H136">
        <v>17056</v>
      </c>
      <c r="I136">
        <v>8007</v>
      </c>
      <c r="J136">
        <v>9060</v>
      </c>
      <c r="K136">
        <v>4403</v>
      </c>
      <c r="L136">
        <v>26</v>
      </c>
      <c r="M136">
        <v>12653</v>
      </c>
      <c r="N136">
        <v>74</v>
      </c>
    </row>
    <row r="137" spans="1:14" x14ac:dyDescent="0.35">
      <c r="A137" t="s">
        <v>198</v>
      </c>
      <c r="B137" t="s">
        <v>15</v>
      </c>
      <c r="C137" t="s">
        <v>95</v>
      </c>
      <c r="D137" t="s">
        <v>17</v>
      </c>
      <c r="E137" t="s">
        <v>52</v>
      </c>
      <c r="F137" t="s">
        <v>49</v>
      </c>
      <c r="G137">
        <v>1975</v>
      </c>
      <c r="H137">
        <v>17010</v>
      </c>
      <c r="I137">
        <v>17018</v>
      </c>
      <c r="J137">
        <v>0</v>
      </c>
      <c r="K137">
        <v>17010</v>
      </c>
      <c r="L137">
        <v>100</v>
      </c>
      <c r="M137">
        <v>0</v>
      </c>
      <c r="N137">
        <v>0</v>
      </c>
    </row>
    <row r="138" spans="1:14" x14ac:dyDescent="0.35">
      <c r="A138" t="s">
        <v>199</v>
      </c>
      <c r="B138" t="s">
        <v>15</v>
      </c>
      <c r="C138" t="s">
        <v>43</v>
      </c>
      <c r="D138" t="s">
        <v>25</v>
      </c>
      <c r="E138" t="s">
        <v>83</v>
      </c>
      <c r="F138" t="s">
        <v>19</v>
      </c>
      <c r="G138">
        <v>2013</v>
      </c>
      <c r="H138">
        <v>16984</v>
      </c>
      <c r="I138">
        <v>10970</v>
      </c>
      <c r="J138">
        <v>6019</v>
      </c>
      <c r="K138">
        <v>4419</v>
      </c>
      <c r="L138">
        <v>26</v>
      </c>
      <c r="M138">
        <v>12565</v>
      </c>
      <c r="N138">
        <v>74</v>
      </c>
    </row>
    <row r="139" spans="1:14" x14ac:dyDescent="0.35">
      <c r="A139" t="s">
        <v>200</v>
      </c>
      <c r="B139" t="s">
        <v>15</v>
      </c>
      <c r="C139" t="s">
        <v>90</v>
      </c>
      <c r="D139" t="s">
        <v>25</v>
      </c>
      <c r="E139" t="s">
        <v>91</v>
      </c>
      <c r="F139" t="s">
        <v>19</v>
      </c>
      <c r="G139">
        <v>2010</v>
      </c>
      <c r="H139">
        <v>16969</v>
      </c>
      <c r="I139">
        <v>10481</v>
      </c>
      <c r="J139">
        <v>6498</v>
      </c>
      <c r="K139">
        <v>7429</v>
      </c>
      <c r="L139">
        <v>44</v>
      </c>
      <c r="M139">
        <v>9540</v>
      </c>
      <c r="N139">
        <v>56</v>
      </c>
    </row>
    <row r="140" spans="1:14" x14ac:dyDescent="0.35">
      <c r="A140" t="s">
        <v>201</v>
      </c>
      <c r="B140" t="s">
        <v>15</v>
      </c>
      <c r="C140" t="s">
        <v>161</v>
      </c>
      <c r="D140" t="s">
        <v>17</v>
      </c>
      <c r="E140" t="s">
        <v>61</v>
      </c>
      <c r="F140" t="s">
        <v>19</v>
      </c>
      <c r="G140">
        <v>2014</v>
      </c>
      <c r="H140">
        <v>16893</v>
      </c>
      <c r="I140">
        <v>13879</v>
      </c>
      <c r="J140">
        <v>3019</v>
      </c>
      <c r="K140">
        <v>5322</v>
      </c>
      <c r="L140">
        <v>32</v>
      </c>
      <c r="M140">
        <v>11572</v>
      </c>
      <c r="N140">
        <v>68</v>
      </c>
    </row>
    <row r="141" spans="1:14" x14ac:dyDescent="0.35">
      <c r="A141" t="s">
        <v>202</v>
      </c>
      <c r="B141" t="s">
        <v>15</v>
      </c>
      <c r="C141" t="s">
        <v>22</v>
      </c>
      <c r="D141" t="s">
        <v>17</v>
      </c>
      <c r="E141" t="s">
        <v>18</v>
      </c>
      <c r="F141" t="s">
        <v>19</v>
      </c>
      <c r="G141">
        <v>2016</v>
      </c>
      <c r="H141">
        <v>16877</v>
      </c>
      <c r="I141">
        <v>11426</v>
      </c>
      <c r="J141">
        <v>5455</v>
      </c>
      <c r="K141">
        <v>6395</v>
      </c>
      <c r="L141">
        <v>38</v>
      </c>
      <c r="M141">
        <v>10482</v>
      </c>
      <c r="N141">
        <v>62</v>
      </c>
    </row>
    <row r="142" spans="1:14" x14ac:dyDescent="0.35">
      <c r="A142" t="s">
        <v>203</v>
      </c>
      <c r="B142" t="s">
        <v>79</v>
      </c>
      <c r="C142" t="s">
        <v>34</v>
      </c>
      <c r="D142" t="s">
        <v>17</v>
      </c>
      <c r="E142" t="s">
        <v>52</v>
      </c>
      <c r="F142" t="s">
        <v>49</v>
      </c>
      <c r="G142">
        <v>1967</v>
      </c>
      <c r="H142">
        <v>16578</v>
      </c>
      <c r="I142">
        <v>16578</v>
      </c>
      <c r="J142">
        <v>0</v>
      </c>
      <c r="K142">
        <v>16567</v>
      </c>
      <c r="L142">
        <v>100</v>
      </c>
      <c r="M142">
        <v>10</v>
      </c>
      <c r="N142">
        <v>0</v>
      </c>
    </row>
    <row r="143" spans="1:14" x14ac:dyDescent="0.35">
      <c r="A143" t="s">
        <v>204</v>
      </c>
      <c r="B143" t="s">
        <v>15</v>
      </c>
      <c r="C143" t="s">
        <v>205</v>
      </c>
      <c r="D143" t="s">
        <v>17</v>
      </c>
      <c r="E143" t="s">
        <v>52</v>
      </c>
      <c r="F143" t="s">
        <v>19</v>
      </c>
      <c r="G143">
        <v>2013</v>
      </c>
      <c r="H143">
        <v>16556</v>
      </c>
      <c r="I143">
        <v>15920</v>
      </c>
      <c r="J143">
        <v>642</v>
      </c>
      <c r="K143">
        <v>15520</v>
      </c>
      <c r="L143">
        <v>94</v>
      </c>
      <c r="M143">
        <v>1037</v>
      </c>
      <c r="N143">
        <v>6</v>
      </c>
    </row>
    <row r="144" spans="1:14" x14ac:dyDescent="0.35">
      <c r="A144" t="s">
        <v>206</v>
      </c>
      <c r="B144" t="s">
        <v>21</v>
      </c>
      <c r="C144" t="s">
        <v>34</v>
      </c>
      <c r="D144" t="s">
        <v>17</v>
      </c>
      <c r="E144" t="s">
        <v>23</v>
      </c>
      <c r="F144" t="s">
        <v>19</v>
      </c>
      <c r="G144">
        <v>2009</v>
      </c>
      <c r="H144">
        <v>16553</v>
      </c>
      <c r="I144">
        <v>11362</v>
      </c>
      <c r="J144">
        <v>5198</v>
      </c>
      <c r="K144">
        <v>8686</v>
      </c>
      <c r="L144">
        <v>52</v>
      </c>
      <c r="M144">
        <v>7867</v>
      </c>
      <c r="N144">
        <v>48</v>
      </c>
    </row>
    <row r="145" spans="1:14" x14ac:dyDescent="0.35">
      <c r="A145" t="s">
        <v>207</v>
      </c>
      <c r="B145" t="s">
        <v>15</v>
      </c>
      <c r="C145" t="s">
        <v>34</v>
      </c>
      <c r="D145" t="s">
        <v>17</v>
      </c>
      <c r="E145" t="s">
        <v>52</v>
      </c>
      <c r="F145" t="s">
        <v>49</v>
      </c>
      <c r="G145">
        <v>1992</v>
      </c>
      <c r="H145">
        <v>16455</v>
      </c>
      <c r="I145">
        <v>16462</v>
      </c>
      <c r="J145">
        <v>3</v>
      </c>
      <c r="K145">
        <v>16382</v>
      </c>
      <c r="L145">
        <v>100</v>
      </c>
      <c r="M145">
        <v>72</v>
      </c>
      <c r="N145">
        <v>0</v>
      </c>
    </row>
    <row r="146" spans="1:14" x14ac:dyDescent="0.35">
      <c r="A146" t="s">
        <v>208</v>
      </c>
      <c r="B146" t="s">
        <v>15</v>
      </c>
      <c r="C146" t="s">
        <v>22</v>
      </c>
      <c r="D146" t="s">
        <v>17</v>
      </c>
      <c r="E146" t="s">
        <v>18</v>
      </c>
      <c r="F146" t="s">
        <v>19</v>
      </c>
      <c r="G146">
        <v>2007</v>
      </c>
      <c r="H146">
        <v>16429</v>
      </c>
      <c r="I146">
        <v>12009</v>
      </c>
      <c r="J146">
        <v>4364</v>
      </c>
      <c r="K146">
        <v>2139</v>
      </c>
      <c r="L146">
        <v>13</v>
      </c>
      <c r="M146">
        <v>14290</v>
      </c>
      <c r="N146">
        <v>87</v>
      </c>
    </row>
    <row r="147" spans="1:14" x14ac:dyDescent="0.35">
      <c r="A147" t="s">
        <v>209</v>
      </c>
      <c r="B147" t="s">
        <v>15</v>
      </c>
      <c r="C147" t="s">
        <v>22</v>
      </c>
      <c r="D147" t="s">
        <v>17</v>
      </c>
      <c r="E147" t="s">
        <v>18</v>
      </c>
      <c r="F147" t="s">
        <v>19</v>
      </c>
      <c r="G147">
        <v>2007</v>
      </c>
      <c r="H147">
        <v>16366</v>
      </c>
      <c r="I147">
        <v>14784</v>
      </c>
      <c r="J147">
        <v>1493</v>
      </c>
      <c r="K147">
        <v>4360</v>
      </c>
      <c r="L147">
        <v>27</v>
      </c>
      <c r="M147">
        <v>12006</v>
      </c>
      <c r="N147">
        <v>73</v>
      </c>
    </row>
    <row r="148" spans="1:14" x14ac:dyDescent="0.35">
      <c r="A148" t="s">
        <v>210</v>
      </c>
      <c r="B148" t="s">
        <v>21</v>
      </c>
      <c r="C148" t="s">
        <v>22</v>
      </c>
      <c r="D148" t="s">
        <v>17</v>
      </c>
      <c r="E148" t="s">
        <v>23</v>
      </c>
      <c r="F148" t="s">
        <v>19</v>
      </c>
      <c r="G148">
        <v>2000</v>
      </c>
      <c r="H148">
        <v>16272</v>
      </c>
      <c r="I148">
        <v>7125</v>
      </c>
      <c r="J148">
        <v>9125</v>
      </c>
      <c r="K148">
        <v>11023</v>
      </c>
      <c r="L148">
        <v>68</v>
      </c>
      <c r="M148">
        <v>5249</v>
      </c>
      <c r="N148">
        <v>32</v>
      </c>
    </row>
    <row r="149" spans="1:14" x14ac:dyDescent="0.35">
      <c r="A149" t="s">
        <v>211</v>
      </c>
      <c r="B149" t="s">
        <v>15</v>
      </c>
      <c r="C149" t="s">
        <v>22</v>
      </c>
      <c r="D149" t="s">
        <v>17</v>
      </c>
      <c r="E149" t="s">
        <v>52</v>
      </c>
      <c r="F149" t="s">
        <v>49</v>
      </c>
      <c r="G149">
        <v>1989</v>
      </c>
      <c r="H149">
        <v>16229</v>
      </c>
      <c r="I149">
        <v>16236</v>
      </c>
      <c r="J149">
        <v>0</v>
      </c>
      <c r="K149">
        <v>16229</v>
      </c>
      <c r="L149">
        <v>100</v>
      </c>
      <c r="M149">
        <v>0</v>
      </c>
      <c r="N149">
        <v>0</v>
      </c>
    </row>
    <row r="150" spans="1:14" x14ac:dyDescent="0.35">
      <c r="A150" t="s">
        <v>212</v>
      </c>
      <c r="B150" t="s">
        <v>15</v>
      </c>
      <c r="C150" t="s">
        <v>22</v>
      </c>
      <c r="D150" t="s">
        <v>17</v>
      </c>
      <c r="E150" t="s">
        <v>18</v>
      </c>
      <c r="F150" t="s">
        <v>19</v>
      </c>
      <c r="G150">
        <v>2018</v>
      </c>
      <c r="H150">
        <v>16217</v>
      </c>
      <c r="I150">
        <v>14632</v>
      </c>
      <c r="J150">
        <v>1588</v>
      </c>
      <c r="K150">
        <v>7842</v>
      </c>
      <c r="L150">
        <v>48</v>
      </c>
      <c r="M150">
        <v>8376</v>
      </c>
      <c r="N150">
        <v>52</v>
      </c>
    </row>
    <row r="151" spans="1:14" x14ac:dyDescent="0.35">
      <c r="A151" t="s">
        <v>213</v>
      </c>
      <c r="B151" t="s">
        <v>21</v>
      </c>
      <c r="C151" t="s">
        <v>22</v>
      </c>
      <c r="D151" t="s">
        <v>17</v>
      </c>
      <c r="E151" t="s">
        <v>23</v>
      </c>
      <c r="F151" t="s">
        <v>19</v>
      </c>
      <c r="G151">
        <v>1998</v>
      </c>
      <c r="H151">
        <v>16148</v>
      </c>
      <c r="I151">
        <v>14108</v>
      </c>
      <c r="J151">
        <v>2048</v>
      </c>
      <c r="K151">
        <v>13481</v>
      </c>
      <c r="L151">
        <v>83</v>
      </c>
      <c r="M151">
        <v>2668</v>
      </c>
      <c r="N151">
        <v>17</v>
      </c>
    </row>
    <row r="152" spans="1:14" x14ac:dyDescent="0.35">
      <c r="A152" t="s">
        <v>214</v>
      </c>
      <c r="B152" t="s">
        <v>15</v>
      </c>
      <c r="C152" t="s">
        <v>34</v>
      </c>
      <c r="D152" t="s">
        <v>17</v>
      </c>
      <c r="E152" t="s">
        <v>23</v>
      </c>
      <c r="F152" t="s">
        <v>19</v>
      </c>
      <c r="G152">
        <v>2012</v>
      </c>
      <c r="H152">
        <v>16112</v>
      </c>
      <c r="I152">
        <v>14818</v>
      </c>
      <c r="J152">
        <v>1298</v>
      </c>
      <c r="K152">
        <v>12881</v>
      </c>
      <c r="L152">
        <v>80</v>
      </c>
      <c r="M152">
        <v>3230</v>
      </c>
      <c r="N152">
        <v>20</v>
      </c>
    </row>
    <row r="153" spans="1:14" x14ac:dyDescent="0.35">
      <c r="A153" t="s">
        <v>215</v>
      </c>
      <c r="B153" t="s">
        <v>15</v>
      </c>
      <c r="C153" t="s">
        <v>16</v>
      </c>
      <c r="D153" t="s">
        <v>17</v>
      </c>
      <c r="E153" t="s">
        <v>18</v>
      </c>
      <c r="F153" t="s">
        <v>19</v>
      </c>
      <c r="G153">
        <v>2009</v>
      </c>
      <c r="H153">
        <v>16021</v>
      </c>
      <c r="I153">
        <v>11602</v>
      </c>
      <c r="J153">
        <v>4425</v>
      </c>
      <c r="K153">
        <v>8229</v>
      </c>
      <c r="L153">
        <v>51</v>
      </c>
      <c r="M153">
        <v>7792</v>
      </c>
      <c r="N153">
        <v>49</v>
      </c>
    </row>
    <row r="154" spans="1:14" x14ac:dyDescent="0.35">
      <c r="A154" t="s">
        <v>216</v>
      </c>
      <c r="B154" t="s">
        <v>15</v>
      </c>
      <c r="C154" t="s">
        <v>22</v>
      </c>
      <c r="D154" t="s">
        <v>17</v>
      </c>
      <c r="E154" t="s">
        <v>18</v>
      </c>
      <c r="F154" t="s">
        <v>19</v>
      </c>
      <c r="G154">
        <v>2006</v>
      </c>
      <c r="H154">
        <v>15952</v>
      </c>
      <c r="I154">
        <v>4001</v>
      </c>
      <c r="J154">
        <v>11957</v>
      </c>
      <c r="K154">
        <v>2951</v>
      </c>
      <c r="L154">
        <v>19</v>
      </c>
      <c r="M154">
        <v>13001</v>
      </c>
      <c r="N154">
        <v>81</v>
      </c>
    </row>
    <row r="155" spans="1:14" x14ac:dyDescent="0.35">
      <c r="A155" t="s">
        <v>217</v>
      </c>
      <c r="B155" t="s">
        <v>15</v>
      </c>
      <c r="C155" t="s">
        <v>60</v>
      </c>
      <c r="D155" t="s">
        <v>17</v>
      </c>
      <c r="E155" t="s">
        <v>61</v>
      </c>
      <c r="F155" t="s">
        <v>19</v>
      </c>
      <c r="G155">
        <v>2013</v>
      </c>
      <c r="H155">
        <v>15921</v>
      </c>
      <c r="I155">
        <v>12030</v>
      </c>
      <c r="J155">
        <v>3896</v>
      </c>
      <c r="K155">
        <v>528</v>
      </c>
      <c r="L155">
        <v>3</v>
      </c>
      <c r="M155">
        <v>15394</v>
      </c>
      <c r="N155">
        <v>97</v>
      </c>
    </row>
    <row r="156" spans="1:14" x14ac:dyDescent="0.35">
      <c r="A156" t="s">
        <v>218</v>
      </c>
      <c r="B156" t="s">
        <v>15</v>
      </c>
      <c r="C156" t="s">
        <v>16</v>
      </c>
      <c r="D156" t="s">
        <v>17</v>
      </c>
      <c r="E156" t="s">
        <v>28</v>
      </c>
      <c r="F156" t="s">
        <v>19</v>
      </c>
      <c r="G156">
        <v>2014</v>
      </c>
      <c r="H156">
        <v>15876</v>
      </c>
      <c r="I156">
        <v>12905</v>
      </c>
      <c r="J156">
        <v>2982</v>
      </c>
      <c r="K156">
        <v>7353</v>
      </c>
      <c r="L156">
        <v>46</v>
      </c>
      <c r="M156">
        <v>8523</v>
      </c>
      <c r="N156">
        <v>54</v>
      </c>
    </row>
    <row r="157" spans="1:14" x14ac:dyDescent="0.35">
      <c r="A157" t="s">
        <v>219</v>
      </c>
      <c r="B157" t="s">
        <v>79</v>
      </c>
      <c r="C157" t="s">
        <v>22</v>
      </c>
      <c r="D157" t="s">
        <v>17</v>
      </c>
      <c r="E157" t="s">
        <v>18</v>
      </c>
      <c r="F157" t="s">
        <v>49</v>
      </c>
      <c r="G157">
        <v>1998</v>
      </c>
      <c r="H157">
        <v>15776</v>
      </c>
      <c r="I157">
        <v>15257</v>
      </c>
      <c r="J157">
        <v>528</v>
      </c>
      <c r="K157">
        <v>11623</v>
      </c>
      <c r="L157">
        <v>74</v>
      </c>
      <c r="M157">
        <v>4153</v>
      </c>
      <c r="N157">
        <v>26</v>
      </c>
    </row>
    <row r="158" spans="1:14" x14ac:dyDescent="0.35">
      <c r="A158" t="s">
        <v>220</v>
      </c>
      <c r="B158" t="s">
        <v>15</v>
      </c>
      <c r="C158" t="s">
        <v>22</v>
      </c>
      <c r="D158" t="s">
        <v>17</v>
      </c>
      <c r="E158" t="s">
        <v>18</v>
      </c>
      <c r="F158" t="s">
        <v>19</v>
      </c>
      <c r="G158">
        <v>2010</v>
      </c>
      <c r="H158">
        <v>15746</v>
      </c>
      <c r="I158">
        <v>502</v>
      </c>
      <c r="J158">
        <v>15244</v>
      </c>
      <c r="K158">
        <v>143</v>
      </c>
      <c r="L158">
        <v>1</v>
      </c>
      <c r="M158">
        <v>15603</v>
      </c>
      <c r="N158">
        <v>99</v>
      </c>
    </row>
    <row r="159" spans="1:14" x14ac:dyDescent="0.35">
      <c r="A159" t="s">
        <v>221</v>
      </c>
      <c r="B159" t="s">
        <v>21</v>
      </c>
      <c r="C159" t="s">
        <v>72</v>
      </c>
      <c r="D159" t="s">
        <v>73</v>
      </c>
      <c r="E159" t="s">
        <v>74</v>
      </c>
      <c r="F159" t="s">
        <v>19</v>
      </c>
      <c r="G159">
        <v>2002</v>
      </c>
      <c r="H159">
        <v>15723</v>
      </c>
      <c r="I159">
        <v>2035</v>
      </c>
      <c r="J159">
        <v>13704</v>
      </c>
      <c r="K159">
        <v>690</v>
      </c>
      <c r="L159">
        <v>4</v>
      </c>
      <c r="M159">
        <v>15032</v>
      </c>
      <c r="N159">
        <v>96</v>
      </c>
    </row>
    <row r="160" spans="1:14" x14ac:dyDescent="0.35">
      <c r="A160" t="s">
        <v>222</v>
      </c>
      <c r="B160" t="s">
        <v>15</v>
      </c>
      <c r="C160" t="s">
        <v>223</v>
      </c>
      <c r="D160" t="s">
        <v>25</v>
      </c>
      <c r="E160" t="s">
        <v>18</v>
      </c>
      <c r="F160" t="s">
        <v>19</v>
      </c>
      <c r="G160">
        <v>2016</v>
      </c>
      <c r="H160">
        <v>15685</v>
      </c>
      <c r="I160">
        <v>7886</v>
      </c>
      <c r="J160">
        <v>7799</v>
      </c>
      <c r="K160">
        <v>3431</v>
      </c>
      <c r="L160">
        <v>22</v>
      </c>
      <c r="M160">
        <v>12254</v>
      </c>
      <c r="N160">
        <v>78</v>
      </c>
    </row>
    <row r="161" spans="1:14" x14ac:dyDescent="0.35">
      <c r="A161" t="s">
        <v>224</v>
      </c>
      <c r="B161" t="s">
        <v>15</v>
      </c>
      <c r="C161" t="s">
        <v>223</v>
      </c>
      <c r="D161" t="s">
        <v>25</v>
      </c>
      <c r="E161" t="s">
        <v>83</v>
      </c>
      <c r="F161" t="s">
        <v>19</v>
      </c>
      <c r="G161">
        <v>2017</v>
      </c>
      <c r="H161">
        <v>15639</v>
      </c>
      <c r="I161">
        <v>13216</v>
      </c>
      <c r="J161">
        <v>2427</v>
      </c>
      <c r="K161">
        <v>84</v>
      </c>
      <c r="L161">
        <v>1</v>
      </c>
      <c r="M161">
        <v>15554</v>
      </c>
      <c r="N161">
        <v>99</v>
      </c>
    </row>
    <row r="162" spans="1:14" x14ac:dyDescent="0.35">
      <c r="A162" t="s">
        <v>225</v>
      </c>
      <c r="B162" t="s">
        <v>15</v>
      </c>
      <c r="C162" t="s">
        <v>22</v>
      </c>
      <c r="D162" t="s">
        <v>17</v>
      </c>
      <c r="E162" t="s">
        <v>18</v>
      </c>
      <c r="F162" t="s">
        <v>49</v>
      </c>
      <c r="G162">
        <v>2013</v>
      </c>
      <c r="H162">
        <v>15562</v>
      </c>
      <c r="I162">
        <v>13694</v>
      </c>
      <c r="J162">
        <v>1874</v>
      </c>
      <c r="K162">
        <v>4815</v>
      </c>
      <c r="L162">
        <v>31</v>
      </c>
      <c r="M162">
        <v>10747</v>
      </c>
      <c r="N162">
        <v>69</v>
      </c>
    </row>
    <row r="163" spans="1:14" x14ac:dyDescent="0.35">
      <c r="A163" t="s">
        <v>226</v>
      </c>
      <c r="B163" t="s">
        <v>15</v>
      </c>
      <c r="C163" t="s">
        <v>95</v>
      </c>
      <c r="D163" t="s">
        <v>17</v>
      </c>
      <c r="E163" t="s">
        <v>18</v>
      </c>
      <c r="F163" t="s">
        <v>19</v>
      </c>
      <c r="G163">
        <v>2018</v>
      </c>
      <c r="H163">
        <v>15562</v>
      </c>
      <c r="I163">
        <v>10488</v>
      </c>
      <c r="J163">
        <v>5078</v>
      </c>
      <c r="K163">
        <v>6776</v>
      </c>
      <c r="L163">
        <v>44</v>
      </c>
      <c r="M163">
        <v>8786</v>
      </c>
      <c r="N163">
        <v>56</v>
      </c>
    </row>
    <row r="164" spans="1:14" x14ac:dyDescent="0.35">
      <c r="A164" t="s">
        <v>227</v>
      </c>
      <c r="B164" t="s">
        <v>21</v>
      </c>
      <c r="C164" t="s">
        <v>167</v>
      </c>
      <c r="D164" t="s">
        <v>168</v>
      </c>
      <c r="E164" t="s">
        <v>169</v>
      </c>
      <c r="F164" t="s">
        <v>19</v>
      </c>
      <c r="G164">
        <v>2011</v>
      </c>
      <c r="H164">
        <v>15528</v>
      </c>
      <c r="I164">
        <v>7744</v>
      </c>
      <c r="J164">
        <v>7784</v>
      </c>
      <c r="K164">
        <v>7736</v>
      </c>
      <c r="L164">
        <v>50</v>
      </c>
      <c r="M164">
        <v>7792</v>
      </c>
      <c r="N164">
        <v>50</v>
      </c>
    </row>
    <row r="165" spans="1:14" x14ac:dyDescent="0.35">
      <c r="A165" t="s">
        <v>228</v>
      </c>
      <c r="B165" t="s">
        <v>21</v>
      </c>
      <c r="C165" t="s">
        <v>167</v>
      </c>
      <c r="D165" t="s">
        <v>168</v>
      </c>
      <c r="E165" t="s">
        <v>23</v>
      </c>
      <c r="F165" t="s">
        <v>19</v>
      </c>
      <c r="G165">
        <v>2012</v>
      </c>
      <c r="H165">
        <v>15526</v>
      </c>
      <c r="I165">
        <v>11132</v>
      </c>
      <c r="J165">
        <v>4375</v>
      </c>
      <c r="K165">
        <v>3212</v>
      </c>
      <c r="L165">
        <v>21</v>
      </c>
      <c r="M165">
        <v>12314</v>
      </c>
      <c r="N165">
        <v>79</v>
      </c>
    </row>
    <row r="166" spans="1:14" x14ac:dyDescent="0.35">
      <c r="A166" t="s">
        <v>229</v>
      </c>
      <c r="B166" t="s">
        <v>15</v>
      </c>
      <c r="C166" t="s">
        <v>22</v>
      </c>
      <c r="D166" t="s">
        <v>17</v>
      </c>
      <c r="E166" t="s">
        <v>52</v>
      </c>
      <c r="F166" t="s">
        <v>49</v>
      </c>
      <c r="G166">
        <v>1990</v>
      </c>
      <c r="H166">
        <v>15453</v>
      </c>
      <c r="I166">
        <v>15343</v>
      </c>
      <c r="J166">
        <v>118</v>
      </c>
      <c r="K166">
        <v>15334</v>
      </c>
      <c r="L166">
        <v>99</v>
      </c>
      <c r="M166">
        <v>120</v>
      </c>
      <c r="N166">
        <v>1</v>
      </c>
    </row>
    <row r="167" spans="1:14" x14ac:dyDescent="0.35">
      <c r="A167" t="s">
        <v>230</v>
      </c>
      <c r="B167" t="s">
        <v>15</v>
      </c>
      <c r="C167" t="s">
        <v>22</v>
      </c>
      <c r="D167" t="s">
        <v>17</v>
      </c>
      <c r="E167" t="s">
        <v>18</v>
      </c>
      <c r="F167" t="s">
        <v>19</v>
      </c>
      <c r="G167">
        <v>2011</v>
      </c>
      <c r="H167">
        <v>15329</v>
      </c>
      <c r="I167">
        <v>6849</v>
      </c>
      <c r="J167">
        <v>8481</v>
      </c>
      <c r="K167">
        <v>2899</v>
      </c>
      <c r="L167">
        <v>19</v>
      </c>
      <c r="M167">
        <v>12431</v>
      </c>
      <c r="N167">
        <v>81</v>
      </c>
    </row>
    <row r="168" spans="1:14" x14ac:dyDescent="0.35">
      <c r="A168" t="s">
        <v>231</v>
      </c>
      <c r="B168" t="s">
        <v>15</v>
      </c>
      <c r="C168" t="s">
        <v>22</v>
      </c>
      <c r="D168" t="s">
        <v>17</v>
      </c>
      <c r="E168" t="s">
        <v>18</v>
      </c>
      <c r="F168" t="s">
        <v>19</v>
      </c>
      <c r="G168">
        <v>2017</v>
      </c>
      <c r="H168">
        <v>15252</v>
      </c>
      <c r="I168">
        <v>13192</v>
      </c>
      <c r="J168">
        <v>2067</v>
      </c>
      <c r="K168">
        <v>7139</v>
      </c>
      <c r="L168">
        <v>47</v>
      </c>
      <c r="M168">
        <v>8113</v>
      </c>
      <c r="N168">
        <v>53</v>
      </c>
    </row>
    <row r="169" spans="1:14" x14ac:dyDescent="0.35">
      <c r="A169" t="s">
        <v>232</v>
      </c>
      <c r="B169" t="s">
        <v>15</v>
      </c>
      <c r="C169" t="s">
        <v>72</v>
      </c>
      <c r="D169" t="s">
        <v>233</v>
      </c>
      <c r="E169" t="s">
        <v>74</v>
      </c>
      <c r="F169" t="s">
        <v>19</v>
      </c>
      <c r="G169">
        <v>1992</v>
      </c>
      <c r="H169">
        <v>15240</v>
      </c>
      <c r="I169">
        <v>10858</v>
      </c>
      <c r="J169">
        <v>4398</v>
      </c>
      <c r="K169">
        <v>595</v>
      </c>
      <c r="L169">
        <v>4</v>
      </c>
      <c r="M169">
        <v>14646</v>
      </c>
      <c r="N169">
        <v>96</v>
      </c>
    </row>
    <row r="170" spans="1:14" x14ac:dyDescent="0.35">
      <c r="A170" t="s">
        <v>234</v>
      </c>
      <c r="B170" t="s">
        <v>15</v>
      </c>
      <c r="C170" t="s">
        <v>22</v>
      </c>
      <c r="D170" t="s">
        <v>17</v>
      </c>
      <c r="E170" t="s">
        <v>18</v>
      </c>
      <c r="F170" t="s">
        <v>19</v>
      </c>
      <c r="G170">
        <v>2006</v>
      </c>
      <c r="H170">
        <v>15133</v>
      </c>
      <c r="I170">
        <v>11606</v>
      </c>
      <c r="J170">
        <v>3519</v>
      </c>
      <c r="K170">
        <v>1928</v>
      </c>
      <c r="L170">
        <v>13</v>
      </c>
      <c r="M170">
        <v>13204</v>
      </c>
      <c r="N170">
        <v>87</v>
      </c>
    </row>
    <row r="171" spans="1:14" x14ac:dyDescent="0.35">
      <c r="A171" t="s">
        <v>235</v>
      </c>
      <c r="B171" t="s">
        <v>15</v>
      </c>
      <c r="C171" t="s">
        <v>22</v>
      </c>
      <c r="D171" t="s">
        <v>17</v>
      </c>
      <c r="E171" t="s">
        <v>18</v>
      </c>
      <c r="F171" t="s">
        <v>19</v>
      </c>
      <c r="G171">
        <v>2008</v>
      </c>
      <c r="H171">
        <v>15087</v>
      </c>
      <c r="I171">
        <v>10608</v>
      </c>
      <c r="J171">
        <v>4484</v>
      </c>
      <c r="K171">
        <v>5835</v>
      </c>
      <c r="L171">
        <v>39</v>
      </c>
      <c r="M171">
        <v>9252</v>
      </c>
      <c r="N171">
        <v>61</v>
      </c>
    </row>
    <row r="172" spans="1:14" x14ac:dyDescent="0.35">
      <c r="A172" t="s">
        <v>236</v>
      </c>
      <c r="B172" t="s">
        <v>15</v>
      </c>
      <c r="C172" t="s">
        <v>22</v>
      </c>
      <c r="D172" t="s">
        <v>25</v>
      </c>
      <c r="E172" t="s">
        <v>26</v>
      </c>
      <c r="F172" t="s">
        <v>19</v>
      </c>
      <c r="G172">
        <v>2010</v>
      </c>
      <c r="H172">
        <v>15041</v>
      </c>
      <c r="I172">
        <v>4979</v>
      </c>
      <c r="J172">
        <v>10062</v>
      </c>
      <c r="K172">
        <v>2070</v>
      </c>
      <c r="L172">
        <v>14</v>
      </c>
      <c r="M172">
        <v>12971</v>
      </c>
      <c r="N172">
        <v>86</v>
      </c>
    </row>
    <row r="173" spans="1:14" x14ac:dyDescent="0.35">
      <c r="A173" t="s">
        <v>237</v>
      </c>
      <c r="B173" t="s">
        <v>15</v>
      </c>
      <c r="C173" t="s">
        <v>184</v>
      </c>
      <c r="D173" t="s">
        <v>17</v>
      </c>
      <c r="E173" t="s">
        <v>185</v>
      </c>
      <c r="F173" t="s">
        <v>49</v>
      </c>
      <c r="G173">
        <v>1962</v>
      </c>
      <c r="H173">
        <v>14993</v>
      </c>
      <c r="I173">
        <v>14837</v>
      </c>
      <c r="J173">
        <v>162</v>
      </c>
      <c r="K173">
        <v>13836</v>
      </c>
      <c r="L173">
        <v>92</v>
      </c>
      <c r="M173">
        <v>1157</v>
      </c>
      <c r="N173">
        <v>8</v>
      </c>
    </row>
    <row r="174" spans="1:14" x14ac:dyDescent="0.35">
      <c r="A174" t="s">
        <v>238</v>
      </c>
      <c r="B174" t="s">
        <v>15</v>
      </c>
      <c r="C174" t="s">
        <v>46</v>
      </c>
      <c r="D174" t="s">
        <v>47</v>
      </c>
      <c r="E174" t="s">
        <v>48</v>
      </c>
      <c r="F174" t="s">
        <v>49</v>
      </c>
      <c r="G174">
        <v>2018</v>
      </c>
      <c r="H174">
        <v>14947</v>
      </c>
      <c r="I174">
        <v>14819</v>
      </c>
      <c r="J174">
        <v>136</v>
      </c>
      <c r="K174">
        <v>13482</v>
      </c>
      <c r="L174">
        <v>90</v>
      </c>
      <c r="M174">
        <v>1465</v>
      </c>
      <c r="N174">
        <v>10</v>
      </c>
    </row>
    <row r="175" spans="1:14" x14ac:dyDescent="0.35">
      <c r="A175" t="s">
        <v>239</v>
      </c>
      <c r="B175" t="s">
        <v>15</v>
      </c>
      <c r="C175" t="s">
        <v>72</v>
      </c>
      <c r="D175" t="s">
        <v>233</v>
      </c>
      <c r="E175" t="s">
        <v>74</v>
      </c>
      <c r="F175" t="s">
        <v>19</v>
      </c>
      <c r="G175">
        <v>2012</v>
      </c>
      <c r="H175">
        <v>14898</v>
      </c>
      <c r="I175">
        <v>12456</v>
      </c>
      <c r="J175">
        <v>2450</v>
      </c>
      <c r="K175">
        <v>1543</v>
      </c>
      <c r="L175">
        <v>10</v>
      </c>
      <c r="M175">
        <v>13354</v>
      </c>
      <c r="N175">
        <v>90</v>
      </c>
    </row>
    <row r="176" spans="1:14" x14ac:dyDescent="0.35">
      <c r="A176" t="s">
        <v>240</v>
      </c>
      <c r="B176" t="s">
        <v>15</v>
      </c>
      <c r="C176" t="s">
        <v>22</v>
      </c>
      <c r="D176" t="s">
        <v>17</v>
      </c>
      <c r="E176" t="s">
        <v>28</v>
      </c>
      <c r="F176" t="s">
        <v>19</v>
      </c>
      <c r="G176">
        <v>2006</v>
      </c>
      <c r="H176">
        <v>14889</v>
      </c>
      <c r="I176">
        <v>8808</v>
      </c>
      <c r="J176">
        <v>6090</v>
      </c>
      <c r="K176">
        <v>8012</v>
      </c>
      <c r="L176">
        <v>54</v>
      </c>
      <c r="M176">
        <v>6877</v>
      </c>
      <c r="N176">
        <v>46</v>
      </c>
    </row>
    <row r="177" spans="1:14" x14ac:dyDescent="0.35">
      <c r="A177" t="s">
        <v>241</v>
      </c>
      <c r="B177" t="s">
        <v>15</v>
      </c>
      <c r="C177" t="s">
        <v>22</v>
      </c>
      <c r="D177" t="s">
        <v>17</v>
      </c>
      <c r="E177" t="s">
        <v>18</v>
      </c>
      <c r="F177" t="s">
        <v>19</v>
      </c>
      <c r="G177">
        <v>2005</v>
      </c>
      <c r="H177">
        <v>14880</v>
      </c>
      <c r="I177">
        <v>7106</v>
      </c>
      <c r="J177">
        <v>7779</v>
      </c>
      <c r="K177">
        <v>1619</v>
      </c>
      <c r="L177">
        <v>11</v>
      </c>
      <c r="M177">
        <v>13261</v>
      </c>
      <c r="N177">
        <v>89</v>
      </c>
    </row>
    <row r="178" spans="1:14" x14ac:dyDescent="0.35">
      <c r="A178" t="s">
        <v>242</v>
      </c>
      <c r="B178" t="s">
        <v>21</v>
      </c>
      <c r="C178" t="s">
        <v>243</v>
      </c>
      <c r="D178" t="s">
        <v>25</v>
      </c>
      <c r="E178" t="s">
        <v>23</v>
      </c>
      <c r="F178" t="s">
        <v>19</v>
      </c>
      <c r="G178">
        <v>2016</v>
      </c>
      <c r="H178">
        <v>14558</v>
      </c>
      <c r="I178">
        <v>10084</v>
      </c>
      <c r="J178">
        <v>4479</v>
      </c>
      <c r="K178">
        <v>5317</v>
      </c>
      <c r="L178">
        <v>37</v>
      </c>
      <c r="M178">
        <v>9242</v>
      </c>
      <c r="N178">
        <v>63</v>
      </c>
    </row>
    <row r="179" spans="1:14" x14ac:dyDescent="0.35">
      <c r="A179" t="s">
        <v>244</v>
      </c>
      <c r="B179" t="s">
        <v>21</v>
      </c>
      <c r="C179" t="s">
        <v>34</v>
      </c>
      <c r="D179" t="s">
        <v>17</v>
      </c>
      <c r="E179" t="s">
        <v>23</v>
      </c>
      <c r="F179" t="s">
        <v>19</v>
      </c>
      <c r="G179">
        <v>2008</v>
      </c>
      <c r="H179">
        <v>14544</v>
      </c>
      <c r="I179">
        <v>10175</v>
      </c>
      <c r="J179">
        <v>4376</v>
      </c>
      <c r="K179">
        <v>6748</v>
      </c>
      <c r="L179">
        <v>46</v>
      </c>
      <c r="M179">
        <v>7797</v>
      </c>
      <c r="N179">
        <v>54</v>
      </c>
    </row>
    <row r="180" spans="1:14" x14ac:dyDescent="0.35">
      <c r="A180" t="s">
        <v>245</v>
      </c>
      <c r="B180" t="s">
        <v>15</v>
      </c>
      <c r="C180" t="s">
        <v>246</v>
      </c>
      <c r="D180" t="s">
        <v>17</v>
      </c>
      <c r="E180" t="s">
        <v>28</v>
      </c>
      <c r="F180" t="s">
        <v>19</v>
      </c>
      <c r="G180">
        <v>2017</v>
      </c>
      <c r="H180">
        <v>14512</v>
      </c>
      <c r="I180">
        <v>13579</v>
      </c>
      <c r="J180">
        <v>938</v>
      </c>
      <c r="K180">
        <v>12112</v>
      </c>
      <c r="L180">
        <v>83</v>
      </c>
      <c r="M180">
        <v>2400</v>
      </c>
      <c r="N180">
        <v>17</v>
      </c>
    </row>
    <row r="181" spans="1:14" x14ac:dyDescent="0.35">
      <c r="A181" t="s">
        <v>247</v>
      </c>
      <c r="B181" t="s">
        <v>15</v>
      </c>
      <c r="C181" t="s">
        <v>22</v>
      </c>
      <c r="D181" t="s">
        <v>17</v>
      </c>
      <c r="E181" t="s">
        <v>52</v>
      </c>
      <c r="F181" t="s">
        <v>49</v>
      </c>
      <c r="G181">
        <v>2003</v>
      </c>
      <c r="H181">
        <v>14508</v>
      </c>
      <c r="I181">
        <v>10717</v>
      </c>
      <c r="J181">
        <v>3796</v>
      </c>
      <c r="K181">
        <v>12380</v>
      </c>
      <c r="L181">
        <v>85</v>
      </c>
      <c r="M181">
        <v>2128</v>
      </c>
      <c r="N181">
        <v>15</v>
      </c>
    </row>
    <row r="182" spans="1:14" x14ac:dyDescent="0.35">
      <c r="A182" t="s">
        <v>248</v>
      </c>
      <c r="B182" t="s">
        <v>15</v>
      </c>
      <c r="C182" t="s">
        <v>16</v>
      </c>
      <c r="D182" t="s">
        <v>17</v>
      </c>
      <c r="E182" t="s">
        <v>28</v>
      </c>
      <c r="F182" t="s">
        <v>19</v>
      </c>
      <c r="G182">
        <v>2013</v>
      </c>
      <c r="H182">
        <v>14506</v>
      </c>
      <c r="I182">
        <v>13237</v>
      </c>
      <c r="J182">
        <v>1275</v>
      </c>
      <c r="K182">
        <v>7177</v>
      </c>
      <c r="L182">
        <v>49</v>
      </c>
      <c r="M182">
        <v>7329</v>
      </c>
      <c r="N182">
        <v>51</v>
      </c>
    </row>
    <row r="183" spans="1:14" x14ac:dyDescent="0.35">
      <c r="A183" t="s">
        <v>249</v>
      </c>
      <c r="B183" t="s">
        <v>15</v>
      </c>
      <c r="C183" t="s">
        <v>167</v>
      </c>
      <c r="D183" t="s">
        <v>168</v>
      </c>
      <c r="E183" t="s">
        <v>169</v>
      </c>
      <c r="F183" t="s">
        <v>49</v>
      </c>
      <c r="G183">
        <v>2007</v>
      </c>
      <c r="H183">
        <v>14404</v>
      </c>
      <c r="I183">
        <v>11024</v>
      </c>
      <c r="J183">
        <v>3391</v>
      </c>
      <c r="K183">
        <v>10484</v>
      </c>
      <c r="L183">
        <v>73</v>
      </c>
      <c r="M183">
        <v>3920</v>
      </c>
      <c r="N183">
        <v>27</v>
      </c>
    </row>
    <row r="184" spans="1:14" x14ac:dyDescent="0.35">
      <c r="A184" t="s">
        <v>250</v>
      </c>
      <c r="B184" t="s">
        <v>15</v>
      </c>
      <c r="C184" t="s">
        <v>22</v>
      </c>
      <c r="D184" t="s">
        <v>17</v>
      </c>
      <c r="E184" t="s">
        <v>18</v>
      </c>
      <c r="F184" t="s">
        <v>19</v>
      </c>
      <c r="G184">
        <v>2015</v>
      </c>
      <c r="H184">
        <v>14403</v>
      </c>
      <c r="I184">
        <v>13416</v>
      </c>
      <c r="J184">
        <v>990</v>
      </c>
      <c r="K184">
        <v>791</v>
      </c>
      <c r="L184">
        <v>5</v>
      </c>
      <c r="M184">
        <v>13612</v>
      </c>
      <c r="N184">
        <v>95</v>
      </c>
    </row>
    <row r="185" spans="1:14" x14ac:dyDescent="0.35">
      <c r="A185" t="s">
        <v>251</v>
      </c>
      <c r="B185" t="s">
        <v>15</v>
      </c>
      <c r="C185" t="s">
        <v>22</v>
      </c>
      <c r="D185" t="s">
        <v>17</v>
      </c>
      <c r="E185" t="s">
        <v>52</v>
      </c>
      <c r="F185" t="s">
        <v>49</v>
      </c>
      <c r="G185">
        <v>2005</v>
      </c>
      <c r="H185">
        <v>14402</v>
      </c>
      <c r="I185">
        <v>4417</v>
      </c>
      <c r="J185">
        <v>9988</v>
      </c>
      <c r="K185">
        <v>13038</v>
      </c>
      <c r="L185">
        <v>91</v>
      </c>
      <c r="M185">
        <v>1364</v>
      </c>
      <c r="N185">
        <v>9</v>
      </c>
    </row>
    <row r="186" spans="1:14" x14ac:dyDescent="0.35">
      <c r="A186" t="s">
        <v>252</v>
      </c>
      <c r="B186" t="s">
        <v>15</v>
      </c>
      <c r="C186" t="s">
        <v>95</v>
      </c>
      <c r="D186" t="s">
        <v>17</v>
      </c>
      <c r="E186" t="s">
        <v>52</v>
      </c>
      <c r="F186" t="s">
        <v>19</v>
      </c>
      <c r="G186">
        <v>2008</v>
      </c>
      <c r="H186">
        <v>14387</v>
      </c>
      <c r="I186">
        <v>13233</v>
      </c>
      <c r="J186">
        <v>1165</v>
      </c>
      <c r="K186">
        <v>12679</v>
      </c>
      <c r="L186">
        <v>88</v>
      </c>
      <c r="M186">
        <v>1708</v>
      </c>
      <c r="N186">
        <v>12</v>
      </c>
    </row>
    <row r="187" spans="1:14" x14ac:dyDescent="0.35">
      <c r="A187" t="s">
        <v>253</v>
      </c>
      <c r="B187" t="s">
        <v>15</v>
      </c>
      <c r="C187" t="s">
        <v>243</v>
      </c>
      <c r="D187" t="s">
        <v>25</v>
      </c>
      <c r="E187" t="s">
        <v>26</v>
      </c>
      <c r="F187" t="s">
        <v>19</v>
      </c>
      <c r="G187">
        <v>2020</v>
      </c>
      <c r="H187">
        <v>14345</v>
      </c>
      <c r="I187">
        <v>7660</v>
      </c>
      <c r="J187">
        <v>6698</v>
      </c>
      <c r="K187">
        <v>4915</v>
      </c>
      <c r="L187">
        <v>34</v>
      </c>
      <c r="M187">
        <v>9430</v>
      </c>
      <c r="N187">
        <v>66</v>
      </c>
    </row>
    <row r="188" spans="1:14" x14ac:dyDescent="0.35">
      <c r="A188" t="s">
        <v>254</v>
      </c>
      <c r="B188" t="s">
        <v>15</v>
      </c>
      <c r="C188" t="s">
        <v>43</v>
      </c>
      <c r="D188" t="s">
        <v>25</v>
      </c>
      <c r="E188" t="s">
        <v>83</v>
      </c>
      <c r="F188" t="s">
        <v>49</v>
      </c>
      <c r="G188">
        <v>2015</v>
      </c>
      <c r="H188">
        <v>14294</v>
      </c>
      <c r="I188">
        <v>11696</v>
      </c>
      <c r="J188">
        <v>2609</v>
      </c>
      <c r="K188">
        <v>8589</v>
      </c>
      <c r="L188">
        <v>60</v>
      </c>
      <c r="M188">
        <v>5705</v>
      </c>
      <c r="N188">
        <v>40</v>
      </c>
    </row>
    <row r="189" spans="1:14" x14ac:dyDescent="0.35">
      <c r="A189" t="s">
        <v>255</v>
      </c>
      <c r="B189" t="s">
        <v>21</v>
      </c>
      <c r="C189" t="s">
        <v>148</v>
      </c>
      <c r="D189" t="s">
        <v>17</v>
      </c>
      <c r="E189" t="s">
        <v>23</v>
      </c>
      <c r="F189" t="s">
        <v>19</v>
      </c>
      <c r="G189">
        <v>2008</v>
      </c>
      <c r="H189">
        <v>14221</v>
      </c>
      <c r="I189">
        <v>9372</v>
      </c>
      <c r="J189">
        <v>4859</v>
      </c>
      <c r="K189">
        <v>7138</v>
      </c>
      <c r="L189">
        <v>50</v>
      </c>
      <c r="M189">
        <v>7083</v>
      </c>
      <c r="N189">
        <v>50</v>
      </c>
    </row>
    <row r="190" spans="1:14" x14ac:dyDescent="0.35">
      <c r="A190" t="s">
        <v>256</v>
      </c>
      <c r="B190" t="s">
        <v>15</v>
      </c>
      <c r="C190" t="s">
        <v>90</v>
      </c>
      <c r="D190" t="s">
        <v>25</v>
      </c>
      <c r="E190" t="s">
        <v>91</v>
      </c>
      <c r="F190" t="s">
        <v>19</v>
      </c>
      <c r="G190">
        <v>2023</v>
      </c>
      <c r="H190">
        <v>14167</v>
      </c>
      <c r="I190">
        <v>7969</v>
      </c>
      <c r="J190">
        <v>6216</v>
      </c>
      <c r="K190">
        <v>3646</v>
      </c>
      <c r="L190">
        <v>26</v>
      </c>
      <c r="M190">
        <v>10520</v>
      </c>
      <c r="N190">
        <v>74</v>
      </c>
    </row>
    <row r="191" spans="1:14" x14ac:dyDescent="0.35">
      <c r="A191" t="s">
        <v>257</v>
      </c>
      <c r="B191" t="s">
        <v>15</v>
      </c>
      <c r="C191" t="s">
        <v>60</v>
      </c>
      <c r="D191" t="s">
        <v>258</v>
      </c>
      <c r="E191" t="s">
        <v>18</v>
      </c>
      <c r="F191" t="s">
        <v>19</v>
      </c>
      <c r="G191">
        <v>2013</v>
      </c>
      <c r="H191">
        <v>14128</v>
      </c>
      <c r="I191">
        <v>11142</v>
      </c>
      <c r="J191">
        <v>2993</v>
      </c>
      <c r="K191">
        <v>8903</v>
      </c>
      <c r="L191">
        <v>63</v>
      </c>
      <c r="M191">
        <v>5225</v>
      </c>
      <c r="N191">
        <v>37</v>
      </c>
    </row>
    <row r="192" spans="1:14" x14ac:dyDescent="0.35">
      <c r="A192" t="s">
        <v>259</v>
      </c>
      <c r="B192" t="s">
        <v>15</v>
      </c>
      <c r="C192" t="s">
        <v>22</v>
      </c>
      <c r="D192" t="s">
        <v>17</v>
      </c>
      <c r="E192" t="s">
        <v>18</v>
      </c>
      <c r="F192" t="s">
        <v>19</v>
      </c>
      <c r="G192">
        <v>1991</v>
      </c>
      <c r="H192">
        <v>14117</v>
      </c>
      <c r="I192">
        <v>13660</v>
      </c>
      <c r="J192">
        <v>462</v>
      </c>
      <c r="K192">
        <v>5423</v>
      </c>
      <c r="L192">
        <v>38</v>
      </c>
      <c r="M192">
        <v>8694</v>
      </c>
      <c r="N192">
        <v>62</v>
      </c>
    </row>
    <row r="193" spans="1:14" x14ac:dyDescent="0.35">
      <c r="A193" t="s">
        <v>260</v>
      </c>
      <c r="B193" t="s">
        <v>15</v>
      </c>
      <c r="C193" t="s">
        <v>34</v>
      </c>
      <c r="D193" t="s">
        <v>17</v>
      </c>
      <c r="E193" t="s">
        <v>58</v>
      </c>
      <c r="F193" t="s">
        <v>49</v>
      </c>
      <c r="G193">
        <v>2001</v>
      </c>
      <c r="H193">
        <v>14104</v>
      </c>
      <c r="I193">
        <v>14088</v>
      </c>
      <c r="J193">
        <v>23</v>
      </c>
      <c r="K193">
        <v>3964</v>
      </c>
      <c r="L193">
        <v>28</v>
      </c>
      <c r="M193">
        <v>10140</v>
      </c>
      <c r="N193">
        <v>72</v>
      </c>
    </row>
    <row r="194" spans="1:14" x14ac:dyDescent="0.35">
      <c r="A194" t="s">
        <v>261</v>
      </c>
      <c r="B194" t="s">
        <v>15</v>
      </c>
      <c r="C194" t="s">
        <v>86</v>
      </c>
      <c r="D194" t="s">
        <v>17</v>
      </c>
      <c r="E194" t="s">
        <v>23</v>
      </c>
      <c r="F194" t="s">
        <v>19</v>
      </c>
      <c r="G194">
        <v>2017</v>
      </c>
      <c r="H194">
        <v>14088</v>
      </c>
      <c r="I194">
        <v>14091</v>
      </c>
      <c r="J194">
        <v>0</v>
      </c>
      <c r="K194">
        <v>13608</v>
      </c>
      <c r="L194">
        <v>97</v>
      </c>
      <c r="M194">
        <v>479</v>
      </c>
      <c r="N194">
        <v>3</v>
      </c>
    </row>
    <row r="195" spans="1:14" x14ac:dyDescent="0.35">
      <c r="A195" t="s">
        <v>262</v>
      </c>
      <c r="B195" t="s">
        <v>15</v>
      </c>
      <c r="C195" t="s">
        <v>22</v>
      </c>
      <c r="D195" t="s">
        <v>25</v>
      </c>
      <c r="E195" t="s">
        <v>91</v>
      </c>
      <c r="F195" t="s">
        <v>49</v>
      </c>
      <c r="G195">
        <v>2022</v>
      </c>
      <c r="H195">
        <v>13999</v>
      </c>
      <c r="I195">
        <v>8095</v>
      </c>
      <c r="J195">
        <v>5915</v>
      </c>
      <c r="K195">
        <v>2002</v>
      </c>
      <c r="L195">
        <v>14</v>
      </c>
      <c r="M195">
        <v>11998</v>
      </c>
      <c r="N195">
        <v>86</v>
      </c>
    </row>
    <row r="196" spans="1:14" x14ac:dyDescent="0.35">
      <c r="A196" t="s">
        <v>263</v>
      </c>
      <c r="B196" t="s">
        <v>15</v>
      </c>
      <c r="C196" t="s">
        <v>43</v>
      </c>
      <c r="D196" t="s">
        <v>25</v>
      </c>
      <c r="E196" t="s">
        <v>23</v>
      </c>
      <c r="F196" t="s">
        <v>19</v>
      </c>
      <c r="G196">
        <v>2007</v>
      </c>
      <c r="H196">
        <v>13994</v>
      </c>
      <c r="I196">
        <v>8290</v>
      </c>
      <c r="J196">
        <v>5704</v>
      </c>
      <c r="K196">
        <v>3475</v>
      </c>
      <c r="L196">
        <v>25</v>
      </c>
      <c r="M196">
        <v>10519</v>
      </c>
      <c r="N196">
        <v>75</v>
      </c>
    </row>
    <row r="197" spans="1:14" x14ac:dyDescent="0.35">
      <c r="A197" t="s">
        <v>264</v>
      </c>
      <c r="B197" t="s">
        <v>15</v>
      </c>
      <c r="C197" t="s">
        <v>22</v>
      </c>
      <c r="D197" t="s">
        <v>25</v>
      </c>
      <c r="E197" t="s">
        <v>26</v>
      </c>
      <c r="F197" t="s">
        <v>19</v>
      </c>
      <c r="G197">
        <v>2009</v>
      </c>
      <c r="H197">
        <v>13994</v>
      </c>
      <c r="I197">
        <v>945</v>
      </c>
      <c r="J197">
        <v>13049</v>
      </c>
      <c r="K197">
        <v>136</v>
      </c>
      <c r="L197">
        <v>1</v>
      </c>
      <c r="M197">
        <v>13858</v>
      </c>
      <c r="N197">
        <v>99</v>
      </c>
    </row>
    <row r="198" spans="1:14" x14ac:dyDescent="0.35">
      <c r="A198" t="s">
        <v>265</v>
      </c>
      <c r="B198" t="s">
        <v>15</v>
      </c>
      <c r="C198" t="s">
        <v>22</v>
      </c>
      <c r="D198" t="s">
        <v>17</v>
      </c>
      <c r="E198" t="s">
        <v>18</v>
      </c>
      <c r="F198" t="s">
        <v>19</v>
      </c>
      <c r="G198">
        <v>2007</v>
      </c>
      <c r="H198">
        <v>13979</v>
      </c>
      <c r="I198">
        <v>4090</v>
      </c>
      <c r="J198">
        <v>9888</v>
      </c>
      <c r="K198">
        <v>896</v>
      </c>
      <c r="L198">
        <v>6</v>
      </c>
      <c r="M198">
        <v>13083</v>
      </c>
      <c r="N198">
        <v>94</v>
      </c>
    </row>
    <row r="199" spans="1:14" x14ac:dyDescent="0.35">
      <c r="A199" t="s">
        <v>266</v>
      </c>
      <c r="B199" t="s">
        <v>15</v>
      </c>
      <c r="C199" t="s">
        <v>22</v>
      </c>
      <c r="D199" t="s">
        <v>17</v>
      </c>
      <c r="E199" t="s">
        <v>18</v>
      </c>
      <c r="F199" t="s">
        <v>19</v>
      </c>
      <c r="G199">
        <v>2010</v>
      </c>
      <c r="H199">
        <v>13892</v>
      </c>
      <c r="I199">
        <v>9309</v>
      </c>
      <c r="J199">
        <v>4587</v>
      </c>
      <c r="K199">
        <v>12293</v>
      </c>
      <c r="L199">
        <v>88</v>
      </c>
      <c r="M199">
        <v>1599</v>
      </c>
      <c r="N199">
        <v>12</v>
      </c>
    </row>
    <row r="200" spans="1:14" x14ac:dyDescent="0.35">
      <c r="A200" t="s">
        <v>267</v>
      </c>
      <c r="B200" t="s">
        <v>15</v>
      </c>
      <c r="C200" t="s">
        <v>22</v>
      </c>
      <c r="D200" t="s">
        <v>17</v>
      </c>
      <c r="E200" t="s">
        <v>28</v>
      </c>
      <c r="F200" t="s">
        <v>19</v>
      </c>
      <c r="G200">
        <v>2011</v>
      </c>
      <c r="H200">
        <v>13891</v>
      </c>
      <c r="I200">
        <v>13740</v>
      </c>
      <c r="J200">
        <v>156</v>
      </c>
      <c r="K200">
        <v>8916</v>
      </c>
      <c r="L200">
        <v>64</v>
      </c>
      <c r="M200">
        <v>4975</v>
      </c>
      <c r="N200">
        <v>36</v>
      </c>
    </row>
    <row r="201" spans="1:14" x14ac:dyDescent="0.35">
      <c r="A201" t="s">
        <v>268</v>
      </c>
      <c r="B201" t="s">
        <v>15</v>
      </c>
      <c r="C201" t="s">
        <v>243</v>
      </c>
      <c r="D201" t="s">
        <v>25</v>
      </c>
      <c r="E201" t="s">
        <v>18</v>
      </c>
      <c r="F201" t="s">
        <v>19</v>
      </c>
      <c r="G201">
        <v>2014</v>
      </c>
      <c r="H201">
        <v>13734</v>
      </c>
      <c r="I201">
        <v>11279</v>
      </c>
      <c r="J201">
        <v>2462</v>
      </c>
      <c r="K201">
        <v>8954</v>
      </c>
      <c r="L201">
        <v>65</v>
      </c>
      <c r="M201">
        <v>4780</v>
      </c>
      <c r="N201">
        <v>35</v>
      </c>
    </row>
    <row r="202" spans="1:14" x14ac:dyDescent="0.35">
      <c r="A202" t="s">
        <v>269</v>
      </c>
      <c r="B202" t="s">
        <v>15</v>
      </c>
      <c r="C202" t="s">
        <v>22</v>
      </c>
      <c r="D202" t="s">
        <v>17</v>
      </c>
      <c r="E202" t="s">
        <v>18</v>
      </c>
      <c r="F202" t="s">
        <v>19</v>
      </c>
      <c r="G202">
        <v>2017</v>
      </c>
      <c r="H202">
        <v>13692</v>
      </c>
      <c r="I202">
        <v>6665</v>
      </c>
      <c r="J202">
        <v>7030</v>
      </c>
      <c r="K202">
        <v>4971</v>
      </c>
      <c r="L202">
        <v>36</v>
      </c>
      <c r="M202">
        <v>8721</v>
      </c>
      <c r="N202">
        <v>64</v>
      </c>
    </row>
    <row r="203" spans="1:14" x14ac:dyDescent="0.35">
      <c r="A203" t="s">
        <v>270</v>
      </c>
      <c r="B203" t="s">
        <v>15</v>
      </c>
      <c r="C203" t="s">
        <v>22</v>
      </c>
      <c r="D203" t="s">
        <v>17</v>
      </c>
      <c r="E203" t="s">
        <v>52</v>
      </c>
      <c r="F203" t="s">
        <v>49</v>
      </c>
      <c r="G203">
        <v>1985</v>
      </c>
      <c r="H203">
        <v>13683</v>
      </c>
      <c r="I203">
        <v>13689</v>
      </c>
      <c r="J203">
        <v>0</v>
      </c>
      <c r="K203">
        <v>13682</v>
      </c>
      <c r="L203">
        <v>100</v>
      </c>
      <c r="M203">
        <v>1</v>
      </c>
      <c r="N203">
        <v>0</v>
      </c>
    </row>
    <row r="204" spans="1:14" x14ac:dyDescent="0.35">
      <c r="A204" t="s">
        <v>271</v>
      </c>
      <c r="B204" t="s">
        <v>21</v>
      </c>
      <c r="C204" t="s">
        <v>22</v>
      </c>
      <c r="D204" t="s">
        <v>17</v>
      </c>
      <c r="E204" t="s">
        <v>23</v>
      </c>
      <c r="F204" t="s">
        <v>19</v>
      </c>
      <c r="G204">
        <v>1990</v>
      </c>
      <c r="H204">
        <v>13650</v>
      </c>
      <c r="I204">
        <v>12397</v>
      </c>
      <c r="J204">
        <v>1258</v>
      </c>
      <c r="K204">
        <v>10349</v>
      </c>
      <c r="L204">
        <v>76</v>
      </c>
      <c r="M204">
        <v>3302</v>
      </c>
      <c r="N204">
        <v>24</v>
      </c>
    </row>
    <row r="205" spans="1:14" x14ac:dyDescent="0.35">
      <c r="A205" t="s">
        <v>272</v>
      </c>
      <c r="B205" t="s">
        <v>15</v>
      </c>
      <c r="C205" t="s">
        <v>22</v>
      </c>
      <c r="D205" t="s">
        <v>17</v>
      </c>
      <c r="E205" t="s">
        <v>273</v>
      </c>
      <c r="F205" t="s">
        <v>19</v>
      </c>
      <c r="G205">
        <v>2017</v>
      </c>
      <c r="H205">
        <v>13543</v>
      </c>
      <c r="I205">
        <v>12815</v>
      </c>
      <c r="J205">
        <v>728</v>
      </c>
      <c r="K205">
        <v>10726</v>
      </c>
      <c r="L205">
        <v>79</v>
      </c>
      <c r="M205">
        <v>2817</v>
      </c>
      <c r="N205">
        <v>21</v>
      </c>
    </row>
    <row r="206" spans="1:14" x14ac:dyDescent="0.35">
      <c r="A206" t="s">
        <v>274</v>
      </c>
      <c r="B206" t="s">
        <v>21</v>
      </c>
      <c r="C206" t="s">
        <v>22</v>
      </c>
      <c r="D206" t="s">
        <v>17</v>
      </c>
      <c r="E206" t="s">
        <v>18</v>
      </c>
      <c r="F206" t="s">
        <v>19</v>
      </c>
      <c r="G206">
        <v>2016</v>
      </c>
      <c r="H206">
        <v>13532</v>
      </c>
      <c r="I206">
        <v>7853</v>
      </c>
      <c r="J206">
        <v>5684</v>
      </c>
      <c r="K206">
        <v>4661</v>
      </c>
      <c r="L206">
        <v>34</v>
      </c>
      <c r="M206">
        <v>8871</v>
      </c>
      <c r="N206">
        <v>66</v>
      </c>
    </row>
    <row r="207" spans="1:14" x14ac:dyDescent="0.35">
      <c r="A207" t="s">
        <v>275</v>
      </c>
      <c r="B207" t="s">
        <v>15</v>
      </c>
      <c r="C207" t="s">
        <v>90</v>
      </c>
      <c r="D207" t="s">
        <v>25</v>
      </c>
      <c r="E207" t="s">
        <v>91</v>
      </c>
      <c r="F207" t="s">
        <v>19</v>
      </c>
      <c r="G207">
        <v>2016</v>
      </c>
      <c r="H207">
        <v>13503</v>
      </c>
      <c r="I207">
        <v>9602</v>
      </c>
      <c r="J207">
        <v>3932</v>
      </c>
      <c r="K207">
        <v>8045</v>
      </c>
      <c r="L207">
        <v>60</v>
      </c>
      <c r="M207">
        <v>5459</v>
      </c>
      <c r="N207">
        <v>40</v>
      </c>
    </row>
    <row r="208" spans="1:14" x14ac:dyDescent="0.35">
      <c r="A208" t="s">
        <v>276</v>
      </c>
      <c r="B208" t="s">
        <v>15</v>
      </c>
      <c r="C208" t="s">
        <v>22</v>
      </c>
      <c r="D208" t="s">
        <v>17</v>
      </c>
      <c r="E208" t="s">
        <v>28</v>
      </c>
      <c r="F208" t="s">
        <v>19</v>
      </c>
      <c r="G208">
        <v>2013</v>
      </c>
      <c r="H208">
        <v>13490</v>
      </c>
      <c r="I208">
        <v>9955</v>
      </c>
      <c r="J208">
        <v>3541</v>
      </c>
      <c r="K208">
        <v>8583</v>
      </c>
      <c r="L208">
        <v>64</v>
      </c>
      <c r="M208">
        <v>4908</v>
      </c>
      <c r="N208">
        <v>36</v>
      </c>
    </row>
    <row r="209" spans="1:14" x14ac:dyDescent="0.35">
      <c r="A209" t="s">
        <v>277</v>
      </c>
      <c r="B209" t="s">
        <v>15</v>
      </c>
      <c r="C209" t="s">
        <v>182</v>
      </c>
      <c r="D209" t="s">
        <v>17</v>
      </c>
      <c r="E209" t="s">
        <v>61</v>
      </c>
      <c r="F209" t="s">
        <v>19</v>
      </c>
      <c r="G209">
        <v>2012</v>
      </c>
      <c r="H209">
        <v>13469</v>
      </c>
      <c r="I209">
        <v>12222</v>
      </c>
      <c r="J209">
        <v>1250</v>
      </c>
      <c r="K209">
        <v>1203</v>
      </c>
      <c r="L209">
        <v>9</v>
      </c>
      <c r="M209">
        <v>12266</v>
      </c>
      <c r="N209">
        <v>91</v>
      </c>
    </row>
    <row r="210" spans="1:14" x14ac:dyDescent="0.35">
      <c r="A210" t="s">
        <v>278</v>
      </c>
      <c r="B210" t="s">
        <v>15</v>
      </c>
      <c r="C210" t="s">
        <v>90</v>
      </c>
      <c r="D210" t="s">
        <v>25</v>
      </c>
      <c r="E210" t="s">
        <v>91</v>
      </c>
      <c r="F210" t="s">
        <v>49</v>
      </c>
      <c r="G210">
        <v>2003</v>
      </c>
      <c r="H210">
        <v>13434</v>
      </c>
      <c r="I210">
        <v>12367</v>
      </c>
      <c r="J210">
        <v>1073</v>
      </c>
      <c r="K210">
        <v>11155</v>
      </c>
      <c r="L210">
        <v>83</v>
      </c>
      <c r="M210">
        <v>2279</v>
      </c>
      <c r="N210">
        <v>17</v>
      </c>
    </row>
    <row r="211" spans="1:14" x14ac:dyDescent="0.35">
      <c r="A211" t="s">
        <v>279</v>
      </c>
      <c r="B211" t="s">
        <v>15</v>
      </c>
      <c r="C211" t="s">
        <v>34</v>
      </c>
      <c r="D211" t="s">
        <v>17</v>
      </c>
      <c r="E211" t="s">
        <v>52</v>
      </c>
      <c r="F211" t="s">
        <v>49</v>
      </c>
      <c r="G211">
        <v>1967</v>
      </c>
      <c r="H211">
        <v>13404</v>
      </c>
      <c r="I211">
        <v>11624</v>
      </c>
      <c r="J211">
        <v>1790</v>
      </c>
      <c r="K211">
        <v>13401</v>
      </c>
      <c r="L211">
        <v>100</v>
      </c>
      <c r="M211">
        <v>4</v>
      </c>
      <c r="N211">
        <v>0</v>
      </c>
    </row>
    <row r="212" spans="1:14" x14ac:dyDescent="0.35">
      <c r="A212" t="s">
        <v>280</v>
      </c>
      <c r="B212" t="s">
        <v>15</v>
      </c>
      <c r="C212" t="s">
        <v>22</v>
      </c>
      <c r="D212" t="s">
        <v>17</v>
      </c>
      <c r="E212" t="s">
        <v>18</v>
      </c>
      <c r="F212" t="s">
        <v>19</v>
      </c>
      <c r="G212">
        <v>2006</v>
      </c>
      <c r="H212">
        <v>13398</v>
      </c>
      <c r="I212">
        <v>13410</v>
      </c>
      <c r="J212">
        <v>0</v>
      </c>
      <c r="K212">
        <v>4666</v>
      </c>
      <c r="L212">
        <v>35</v>
      </c>
      <c r="M212">
        <v>8733</v>
      </c>
      <c r="N212">
        <v>65</v>
      </c>
    </row>
    <row r="213" spans="1:14" x14ac:dyDescent="0.35">
      <c r="A213" t="s">
        <v>281</v>
      </c>
      <c r="B213" t="s">
        <v>15</v>
      </c>
      <c r="C213" t="s">
        <v>22</v>
      </c>
      <c r="D213" t="s">
        <v>25</v>
      </c>
      <c r="E213" t="s">
        <v>26</v>
      </c>
      <c r="F213" t="s">
        <v>49</v>
      </c>
      <c r="G213">
        <v>1998</v>
      </c>
      <c r="H213">
        <v>13323</v>
      </c>
      <c r="I213">
        <v>8971</v>
      </c>
      <c r="J213">
        <v>4360</v>
      </c>
      <c r="K213">
        <v>5734</v>
      </c>
      <c r="L213">
        <v>43</v>
      </c>
      <c r="M213">
        <v>7589</v>
      </c>
      <c r="N213">
        <v>57</v>
      </c>
    </row>
    <row r="214" spans="1:14" x14ac:dyDescent="0.35">
      <c r="A214" t="s">
        <v>282</v>
      </c>
      <c r="B214" t="s">
        <v>15</v>
      </c>
      <c r="C214" t="s">
        <v>22</v>
      </c>
      <c r="D214" t="s">
        <v>17</v>
      </c>
      <c r="E214" t="s">
        <v>18</v>
      </c>
      <c r="F214" t="s">
        <v>19</v>
      </c>
      <c r="G214">
        <v>1984</v>
      </c>
      <c r="H214">
        <v>13320</v>
      </c>
      <c r="I214">
        <v>8569</v>
      </c>
      <c r="J214">
        <v>4756</v>
      </c>
      <c r="K214">
        <v>464</v>
      </c>
      <c r="L214">
        <v>3</v>
      </c>
      <c r="M214">
        <v>12856</v>
      </c>
      <c r="N214">
        <v>97</v>
      </c>
    </row>
    <row r="215" spans="1:14" x14ac:dyDescent="0.35">
      <c r="A215" t="s">
        <v>283</v>
      </c>
      <c r="B215" t="s">
        <v>15</v>
      </c>
      <c r="C215" t="s">
        <v>22</v>
      </c>
      <c r="D215" t="s">
        <v>25</v>
      </c>
      <c r="E215" t="s">
        <v>26</v>
      </c>
      <c r="F215" t="s">
        <v>19</v>
      </c>
      <c r="G215">
        <v>2017</v>
      </c>
      <c r="H215">
        <v>13291</v>
      </c>
      <c r="I215">
        <v>10114</v>
      </c>
      <c r="J215">
        <v>3183</v>
      </c>
      <c r="K215">
        <v>4068</v>
      </c>
      <c r="L215">
        <v>31</v>
      </c>
      <c r="M215">
        <v>9223</v>
      </c>
      <c r="N215">
        <v>69</v>
      </c>
    </row>
    <row r="216" spans="1:14" x14ac:dyDescent="0.35">
      <c r="A216" t="s">
        <v>284</v>
      </c>
      <c r="B216" t="s">
        <v>79</v>
      </c>
      <c r="C216" t="s">
        <v>22</v>
      </c>
      <c r="D216" t="s">
        <v>17</v>
      </c>
      <c r="E216" t="s">
        <v>58</v>
      </c>
      <c r="F216" t="s">
        <v>49</v>
      </c>
      <c r="G216">
        <v>2008</v>
      </c>
      <c r="H216">
        <v>13287</v>
      </c>
      <c r="I216">
        <v>13295</v>
      </c>
      <c r="J216">
        <v>0</v>
      </c>
      <c r="K216">
        <v>13287</v>
      </c>
      <c r="L216">
        <v>100</v>
      </c>
      <c r="M216">
        <v>0</v>
      </c>
      <c r="N216">
        <v>0</v>
      </c>
    </row>
    <row r="217" spans="1:14" x14ac:dyDescent="0.35">
      <c r="A217" t="s">
        <v>285</v>
      </c>
      <c r="B217" t="s">
        <v>15</v>
      </c>
      <c r="C217" t="s">
        <v>22</v>
      </c>
      <c r="D217" t="s">
        <v>17</v>
      </c>
      <c r="E217" t="s">
        <v>18</v>
      </c>
      <c r="F217" t="s">
        <v>19</v>
      </c>
      <c r="G217">
        <v>2008</v>
      </c>
      <c r="H217">
        <v>13282</v>
      </c>
      <c r="I217">
        <v>12309</v>
      </c>
      <c r="J217">
        <v>978</v>
      </c>
      <c r="K217">
        <v>11171</v>
      </c>
      <c r="L217">
        <v>84</v>
      </c>
      <c r="M217">
        <v>2110</v>
      </c>
      <c r="N217">
        <v>16</v>
      </c>
    </row>
    <row r="218" spans="1:14" x14ac:dyDescent="0.35">
      <c r="A218" t="s">
        <v>286</v>
      </c>
      <c r="B218" t="s">
        <v>15</v>
      </c>
      <c r="C218" t="s">
        <v>22</v>
      </c>
      <c r="D218" t="s">
        <v>25</v>
      </c>
      <c r="E218" t="s">
        <v>26</v>
      </c>
      <c r="F218" t="s">
        <v>19</v>
      </c>
      <c r="G218">
        <v>2000</v>
      </c>
      <c r="H218">
        <v>13273</v>
      </c>
      <c r="I218">
        <v>4702</v>
      </c>
      <c r="J218">
        <v>8580</v>
      </c>
      <c r="K218">
        <v>575</v>
      </c>
      <c r="L218">
        <v>4</v>
      </c>
      <c r="M218">
        <v>12698</v>
      </c>
      <c r="N218">
        <v>96</v>
      </c>
    </row>
    <row r="219" spans="1:14" x14ac:dyDescent="0.35">
      <c r="A219" t="s">
        <v>287</v>
      </c>
      <c r="B219" t="s">
        <v>79</v>
      </c>
      <c r="C219" t="s">
        <v>22</v>
      </c>
      <c r="D219" t="s">
        <v>17</v>
      </c>
      <c r="E219" t="s">
        <v>61</v>
      </c>
      <c r="F219" t="s">
        <v>49</v>
      </c>
      <c r="G219">
        <v>2009</v>
      </c>
      <c r="H219">
        <v>13220</v>
      </c>
      <c r="I219">
        <v>11620</v>
      </c>
      <c r="J219">
        <v>1604</v>
      </c>
      <c r="K219">
        <v>45</v>
      </c>
      <c r="L219">
        <v>0</v>
      </c>
      <c r="M219">
        <v>13175</v>
      </c>
      <c r="N219">
        <v>100</v>
      </c>
    </row>
    <row r="220" spans="1:14" x14ac:dyDescent="0.35">
      <c r="A220" t="s">
        <v>288</v>
      </c>
      <c r="B220" t="s">
        <v>15</v>
      </c>
      <c r="C220" t="s">
        <v>22</v>
      </c>
      <c r="D220" t="s">
        <v>17</v>
      </c>
      <c r="E220" t="s">
        <v>23</v>
      </c>
      <c r="F220" t="s">
        <v>19</v>
      </c>
      <c r="G220">
        <v>1999</v>
      </c>
      <c r="H220">
        <v>13208</v>
      </c>
      <c r="I220">
        <v>12134</v>
      </c>
      <c r="J220">
        <v>1077</v>
      </c>
      <c r="K220">
        <v>11821</v>
      </c>
      <c r="L220">
        <v>89</v>
      </c>
      <c r="M220">
        <v>1387</v>
      </c>
      <c r="N220">
        <v>11</v>
      </c>
    </row>
    <row r="221" spans="1:14" x14ac:dyDescent="0.35">
      <c r="A221" t="s">
        <v>289</v>
      </c>
      <c r="B221" t="s">
        <v>15</v>
      </c>
      <c r="C221" t="s">
        <v>22</v>
      </c>
      <c r="D221" t="s">
        <v>17</v>
      </c>
      <c r="E221" t="s">
        <v>28</v>
      </c>
      <c r="F221" t="s">
        <v>19</v>
      </c>
      <c r="G221">
        <v>2010</v>
      </c>
      <c r="H221">
        <v>13066</v>
      </c>
      <c r="I221">
        <v>7612</v>
      </c>
      <c r="J221">
        <v>5460</v>
      </c>
      <c r="K221">
        <v>5542</v>
      </c>
      <c r="L221">
        <v>42</v>
      </c>
      <c r="M221">
        <v>7524</v>
      </c>
      <c r="N221">
        <v>58</v>
      </c>
    </row>
    <row r="222" spans="1:14" x14ac:dyDescent="0.35">
      <c r="A222" t="s">
        <v>290</v>
      </c>
      <c r="B222" t="s">
        <v>15</v>
      </c>
      <c r="C222" t="s">
        <v>22</v>
      </c>
      <c r="D222" t="s">
        <v>17</v>
      </c>
      <c r="E222" t="s">
        <v>18</v>
      </c>
      <c r="F222" t="s">
        <v>19</v>
      </c>
      <c r="G222">
        <v>2018</v>
      </c>
      <c r="H222">
        <v>13040</v>
      </c>
      <c r="I222">
        <v>12982</v>
      </c>
      <c r="J222">
        <v>60</v>
      </c>
      <c r="K222">
        <v>7413</v>
      </c>
      <c r="L222">
        <v>57</v>
      </c>
      <c r="M222">
        <v>5627</v>
      </c>
      <c r="N222">
        <v>43</v>
      </c>
    </row>
    <row r="223" spans="1:14" x14ac:dyDescent="0.35">
      <c r="A223" t="s">
        <v>291</v>
      </c>
      <c r="B223" t="s">
        <v>15</v>
      </c>
      <c r="C223" t="s">
        <v>22</v>
      </c>
      <c r="D223" t="s">
        <v>17</v>
      </c>
      <c r="E223" t="s">
        <v>292</v>
      </c>
      <c r="F223" t="s">
        <v>49</v>
      </c>
      <c r="G223">
        <v>1998</v>
      </c>
      <c r="H223">
        <v>13009</v>
      </c>
      <c r="I223">
        <v>13017</v>
      </c>
      <c r="J223">
        <v>0</v>
      </c>
      <c r="K223">
        <v>12964</v>
      </c>
      <c r="L223">
        <v>100</v>
      </c>
      <c r="M223">
        <v>46</v>
      </c>
      <c r="N223">
        <v>0</v>
      </c>
    </row>
    <row r="224" spans="1:14" x14ac:dyDescent="0.35">
      <c r="A224" t="s">
        <v>293</v>
      </c>
      <c r="B224" t="s">
        <v>15</v>
      </c>
      <c r="C224" t="s">
        <v>22</v>
      </c>
      <c r="D224" t="s">
        <v>17</v>
      </c>
      <c r="E224" t="s">
        <v>18</v>
      </c>
      <c r="F224" t="s">
        <v>19</v>
      </c>
      <c r="G224">
        <v>2009</v>
      </c>
      <c r="H224">
        <v>12994</v>
      </c>
      <c r="I224">
        <v>13000</v>
      </c>
      <c r="J224">
        <v>0</v>
      </c>
      <c r="K224">
        <v>5593</v>
      </c>
      <c r="L224">
        <v>43</v>
      </c>
      <c r="M224">
        <v>7401</v>
      </c>
      <c r="N224">
        <v>57</v>
      </c>
    </row>
    <row r="225" spans="1:14" x14ac:dyDescent="0.35">
      <c r="A225" t="s">
        <v>294</v>
      </c>
      <c r="B225" t="s">
        <v>79</v>
      </c>
      <c r="C225" t="s">
        <v>148</v>
      </c>
      <c r="D225" t="s">
        <v>17</v>
      </c>
      <c r="E225" t="s">
        <v>23</v>
      </c>
      <c r="F225" t="s">
        <v>49</v>
      </c>
      <c r="G225">
        <v>1972</v>
      </c>
      <c r="H225">
        <v>12992</v>
      </c>
      <c r="I225">
        <v>10480</v>
      </c>
      <c r="J225">
        <v>2516</v>
      </c>
      <c r="K225">
        <v>12992</v>
      </c>
      <c r="L225">
        <v>100</v>
      </c>
      <c r="M225">
        <v>0</v>
      </c>
      <c r="N225">
        <v>0</v>
      </c>
    </row>
    <row r="226" spans="1:14" x14ac:dyDescent="0.35">
      <c r="A226" t="s">
        <v>295</v>
      </c>
      <c r="B226" t="s">
        <v>21</v>
      </c>
      <c r="C226" t="s">
        <v>22</v>
      </c>
      <c r="D226" t="s">
        <v>25</v>
      </c>
      <c r="E226" t="s">
        <v>83</v>
      </c>
      <c r="F226" t="s">
        <v>19</v>
      </c>
      <c r="G226">
        <v>2013</v>
      </c>
      <c r="H226">
        <v>12985</v>
      </c>
      <c r="I226">
        <v>8772</v>
      </c>
      <c r="J226">
        <v>4217</v>
      </c>
      <c r="K226">
        <v>2161</v>
      </c>
      <c r="L226">
        <v>17</v>
      </c>
      <c r="M226">
        <v>10824</v>
      </c>
      <c r="N226">
        <v>83</v>
      </c>
    </row>
    <row r="227" spans="1:14" x14ac:dyDescent="0.35">
      <c r="A227" t="s">
        <v>296</v>
      </c>
      <c r="B227" t="s">
        <v>15</v>
      </c>
      <c r="C227" t="s">
        <v>22</v>
      </c>
      <c r="D227" t="s">
        <v>25</v>
      </c>
      <c r="E227" t="s">
        <v>26</v>
      </c>
      <c r="F227" t="s">
        <v>19</v>
      </c>
      <c r="G227">
        <v>2003</v>
      </c>
      <c r="H227">
        <v>12930</v>
      </c>
      <c r="I227">
        <v>5938</v>
      </c>
      <c r="J227">
        <v>6998</v>
      </c>
      <c r="K227">
        <v>1490</v>
      </c>
      <c r="L227">
        <v>12</v>
      </c>
      <c r="M227">
        <v>11440</v>
      </c>
      <c r="N227">
        <v>88</v>
      </c>
    </row>
    <row r="228" spans="1:14" x14ac:dyDescent="0.35">
      <c r="A228" t="s">
        <v>297</v>
      </c>
      <c r="B228" t="s">
        <v>15</v>
      </c>
      <c r="C228" t="s">
        <v>243</v>
      </c>
      <c r="D228" t="s">
        <v>25</v>
      </c>
      <c r="E228" t="s">
        <v>83</v>
      </c>
      <c r="F228" t="s">
        <v>19</v>
      </c>
      <c r="G228">
        <v>1995</v>
      </c>
      <c r="H228">
        <v>12858</v>
      </c>
      <c r="I228">
        <v>11010</v>
      </c>
      <c r="J228">
        <v>1853</v>
      </c>
      <c r="K228">
        <v>3301</v>
      </c>
      <c r="L228">
        <v>26</v>
      </c>
      <c r="M228">
        <v>9557</v>
      </c>
      <c r="N228">
        <v>74</v>
      </c>
    </row>
    <row r="229" spans="1:14" x14ac:dyDescent="0.35">
      <c r="A229" t="s">
        <v>298</v>
      </c>
      <c r="B229" t="s">
        <v>15</v>
      </c>
      <c r="C229" t="s">
        <v>22</v>
      </c>
      <c r="D229" t="s">
        <v>17</v>
      </c>
      <c r="E229" t="s">
        <v>18</v>
      </c>
      <c r="F229" t="s">
        <v>19</v>
      </c>
      <c r="G229">
        <v>2015</v>
      </c>
      <c r="H229">
        <v>12824</v>
      </c>
      <c r="I229">
        <v>5535</v>
      </c>
      <c r="J229">
        <v>7289</v>
      </c>
      <c r="K229">
        <v>2109</v>
      </c>
      <c r="L229">
        <v>16</v>
      </c>
      <c r="M229">
        <v>10715</v>
      </c>
      <c r="N229">
        <v>84</v>
      </c>
    </row>
    <row r="230" spans="1:14" x14ac:dyDescent="0.35">
      <c r="A230" t="s">
        <v>299</v>
      </c>
      <c r="B230" t="s">
        <v>15</v>
      </c>
      <c r="C230" t="s">
        <v>90</v>
      </c>
      <c r="D230" t="s">
        <v>25</v>
      </c>
      <c r="E230" t="s">
        <v>91</v>
      </c>
      <c r="F230" t="s">
        <v>19</v>
      </c>
      <c r="G230">
        <v>2018</v>
      </c>
      <c r="H230">
        <v>12811</v>
      </c>
      <c r="I230">
        <v>6583</v>
      </c>
      <c r="J230">
        <v>6236</v>
      </c>
      <c r="K230">
        <v>1708</v>
      </c>
      <c r="L230">
        <v>13</v>
      </c>
      <c r="M230">
        <v>11103</v>
      </c>
      <c r="N230">
        <v>87</v>
      </c>
    </row>
    <row r="231" spans="1:14" x14ac:dyDescent="0.35">
      <c r="A231" t="s">
        <v>300</v>
      </c>
      <c r="B231" t="s">
        <v>15</v>
      </c>
      <c r="C231" t="s">
        <v>22</v>
      </c>
      <c r="D231" t="s">
        <v>25</v>
      </c>
      <c r="E231" t="s">
        <v>26</v>
      </c>
      <c r="F231" t="s">
        <v>49</v>
      </c>
      <c r="G231">
        <v>2000</v>
      </c>
      <c r="H231">
        <v>12800</v>
      </c>
      <c r="I231">
        <v>5018</v>
      </c>
      <c r="J231">
        <v>7786</v>
      </c>
      <c r="K231">
        <v>1714</v>
      </c>
      <c r="L231">
        <v>13</v>
      </c>
      <c r="M231">
        <v>11086</v>
      </c>
      <c r="N231">
        <v>87</v>
      </c>
    </row>
    <row r="232" spans="1:14" x14ac:dyDescent="0.35">
      <c r="A232" t="s">
        <v>301</v>
      </c>
      <c r="B232" t="s">
        <v>15</v>
      </c>
      <c r="C232" t="s">
        <v>95</v>
      </c>
      <c r="D232" t="s">
        <v>17</v>
      </c>
      <c r="E232" t="s">
        <v>52</v>
      </c>
      <c r="F232" t="s">
        <v>49</v>
      </c>
      <c r="G232">
        <v>2011</v>
      </c>
      <c r="H232">
        <v>12788</v>
      </c>
      <c r="I232">
        <v>12026</v>
      </c>
      <c r="J232">
        <v>766</v>
      </c>
      <c r="K232">
        <v>11526</v>
      </c>
      <c r="L232">
        <v>90</v>
      </c>
      <c r="M232">
        <v>1262</v>
      </c>
      <c r="N232">
        <v>10</v>
      </c>
    </row>
    <row r="233" spans="1:14" x14ac:dyDescent="0.35">
      <c r="A233" t="s">
        <v>302</v>
      </c>
      <c r="B233" t="s">
        <v>15</v>
      </c>
      <c r="C233" t="s">
        <v>22</v>
      </c>
      <c r="D233" t="s">
        <v>17</v>
      </c>
      <c r="E233" t="s">
        <v>18</v>
      </c>
      <c r="F233" t="s">
        <v>19</v>
      </c>
      <c r="G233">
        <v>2015</v>
      </c>
      <c r="H233">
        <v>12751</v>
      </c>
      <c r="I233">
        <v>8482</v>
      </c>
      <c r="J233">
        <v>4272</v>
      </c>
      <c r="K233">
        <v>5660</v>
      </c>
      <c r="L233">
        <v>44</v>
      </c>
      <c r="M233">
        <v>7091</v>
      </c>
      <c r="N233">
        <v>56</v>
      </c>
    </row>
    <row r="234" spans="1:14" x14ac:dyDescent="0.35">
      <c r="A234" t="s">
        <v>303</v>
      </c>
      <c r="B234" t="s">
        <v>21</v>
      </c>
      <c r="C234" t="s">
        <v>46</v>
      </c>
      <c r="D234" t="s">
        <v>47</v>
      </c>
      <c r="E234" t="s">
        <v>48</v>
      </c>
      <c r="F234" t="s">
        <v>49</v>
      </c>
      <c r="G234">
        <v>2015</v>
      </c>
      <c r="H234">
        <v>12716</v>
      </c>
      <c r="I234">
        <v>2649</v>
      </c>
      <c r="J234">
        <v>10073</v>
      </c>
      <c r="K234">
        <v>12243</v>
      </c>
      <c r="L234">
        <v>96</v>
      </c>
      <c r="M234">
        <v>474</v>
      </c>
      <c r="N234">
        <v>4</v>
      </c>
    </row>
    <row r="235" spans="1:14" x14ac:dyDescent="0.35">
      <c r="A235" t="s">
        <v>304</v>
      </c>
      <c r="B235" t="s">
        <v>15</v>
      </c>
      <c r="C235" t="s">
        <v>22</v>
      </c>
      <c r="D235" t="s">
        <v>25</v>
      </c>
      <c r="E235" t="s">
        <v>26</v>
      </c>
      <c r="F235" t="s">
        <v>19</v>
      </c>
      <c r="G235">
        <v>2004</v>
      </c>
      <c r="H235">
        <v>12713</v>
      </c>
      <c r="I235">
        <v>12596</v>
      </c>
      <c r="J235">
        <v>125</v>
      </c>
      <c r="K235">
        <v>1285</v>
      </c>
      <c r="L235">
        <v>10</v>
      </c>
      <c r="M235">
        <v>11428</v>
      </c>
      <c r="N235">
        <v>90</v>
      </c>
    </row>
    <row r="236" spans="1:14" x14ac:dyDescent="0.35">
      <c r="A236" t="s">
        <v>305</v>
      </c>
      <c r="B236" t="s">
        <v>21</v>
      </c>
      <c r="C236" t="s">
        <v>22</v>
      </c>
      <c r="D236" t="s">
        <v>17</v>
      </c>
      <c r="E236" t="s">
        <v>23</v>
      </c>
      <c r="F236" t="s">
        <v>19</v>
      </c>
      <c r="G236">
        <v>2008</v>
      </c>
      <c r="H236">
        <v>12701</v>
      </c>
      <c r="I236">
        <v>8281</v>
      </c>
      <c r="J236">
        <v>4423</v>
      </c>
      <c r="K236">
        <v>7764</v>
      </c>
      <c r="L236">
        <v>61</v>
      </c>
      <c r="M236">
        <v>4937</v>
      </c>
      <c r="N236">
        <v>39</v>
      </c>
    </row>
    <row r="237" spans="1:14" x14ac:dyDescent="0.35">
      <c r="A237" t="s">
        <v>306</v>
      </c>
      <c r="B237" t="s">
        <v>15</v>
      </c>
      <c r="C237" t="s">
        <v>34</v>
      </c>
      <c r="D237" t="s">
        <v>17</v>
      </c>
      <c r="E237" t="s">
        <v>23</v>
      </c>
      <c r="F237" t="s">
        <v>19</v>
      </c>
      <c r="G237">
        <v>2010</v>
      </c>
      <c r="H237">
        <v>12651</v>
      </c>
      <c r="I237">
        <v>11398</v>
      </c>
      <c r="J237">
        <v>1256</v>
      </c>
      <c r="K237">
        <v>5777</v>
      </c>
      <c r="L237">
        <v>46</v>
      </c>
      <c r="M237">
        <v>6874</v>
      </c>
      <c r="N237">
        <v>54</v>
      </c>
    </row>
    <row r="238" spans="1:14" x14ac:dyDescent="0.35">
      <c r="A238" t="s">
        <v>307</v>
      </c>
      <c r="B238" t="s">
        <v>15</v>
      </c>
      <c r="C238" t="s">
        <v>16</v>
      </c>
      <c r="D238" t="s">
        <v>17</v>
      </c>
      <c r="E238" t="s">
        <v>23</v>
      </c>
      <c r="F238" t="s">
        <v>19</v>
      </c>
      <c r="G238">
        <v>2001</v>
      </c>
      <c r="H238">
        <v>12648</v>
      </c>
      <c r="I238">
        <v>11934</v>
      </c>
      <c r="J238">
        <v>715</v>
      </c>
      <c r="K238">
        <v>10363</v>
      </c>
      <c r="L238">
        <v>82</v>
      </c>
      <c r="M238">
        <v>2285</v>
      </c>
      <c r="N238">
        <v>18</v>
      </c>
    </row>
    <row r="239" spans="1:14" x14ac:dyDescent="0.35">
      <c r="A239" t="s">
        <v>308</v>
      </c>
      <c r="B239" t="s">
        <v>15</v>
      </c>
      <c r="C239" t="s">
        <v>22</v>
      </c>
      <c r="D239" t="s">
        <v>17</v>
      </c>
      <c r="E239" t="s">
        <v>18</v>
      </c>
      <c r="F239" t="s">
        <v>19</v>
      </c>
      <c r="G239">
        <v>2000</v>
      </c>
      <c r="H239">
        <v>12593</v>
      </c>
      <c r="I239">
        <v>6266</v>
      </c>
      <c r="J239">
        <v>6331</v>
      </c>
      <c r="K239">
        <v>352</v>
      </c>
      <c r="L239">
        <v>3</v>
      </c>
      <c r="M239">
        <v>12242</v>
      </c>
      <c r="N239">
        <v>97</v>
      </c>
    </row>
    <row r="240" spans="1:14" x14ac:dyDescent="0.35">
      <c r="A240" t="s">
        <v>309</v>
      </c>
      <c r="B240" t="s">
        <v>21</v>
      </c>
      <c r="C240" t="s">
        <v>34</v>
      </c>
      <c r="D240" t="s">
        <v>17</v>
      </c>
      <c r="E240" t="s">
        <v>23</v>
      </c>
      <c r="F240" t="s">
        <v>19</v>
      </c>
      <c r="G240">
        <v>2013</v>
      </c>
      <c r="H240">
        <v>12593</v>
      </c>
      <c r="I240">
        <v>12543</v>
      </c>
      <c r="J240">
        <v>30</v>
      </c>
      <c r="K240">
        <v>3707</v>
      </c>
      <c r="L240">
        <v>29</v>
      </c>
      <c r="M240">
        <v>8886</v>
      </c>
      <c r="N240">
        <v>71</v>
      </c>
    </row>
    <row r="241" spans="1:14" x14ac:dyDescent="0.35">
      <c r="A241" t="s">
        <v>310</v>
      </c>
      <c r="B241" t="s">
        <v>15</v>
      </c>
      <c r="C241" t="s">
        <v>34</v>
      </c>
      <c r="D241" t="s">
        <v>17</v>
      </c>
      <c r="E241" t="s">
        <v>52</v>
      </c>
      <c r="F241" t="s">
        <v>49</v>
      </c>
      <c r="G241">
        <v>1964</v>
      </c>
      <c r="H241">
        <v>12566</v>
      </c>
      <c r="I241">
        <v>4906</v>
      </c>
      <c r="J241">
        <v>7659</v>
      </c>
      <c r="K241">
        <v>12336</v>
      </c>
      <c r="L241">
        <v>98</v>
      </c>
      <c r="M241">
        <v>230</v>
      </c>
      <c r="N241">
        <v>2</v>
      </c>
    </row>
    <row r="242" spans="1:14" x14ac:dyDescent="0.35">
      <c r="A242" t="s">
        <v>311</v>
      </c>
      <c r="B242" t="s">
        <v>15</v>
      </c>
      <c r="C242" t="s">
        <v>22</v>
      </c>
      <c r="D242" t="s">
        <v>17</v>
      </c>
      <c r="E242" t="s">
        <v>23</v>
      </c>
      <c r="F242" t="s">
        <v>19</v>
      </c>
      <c r="G242">
        <v>1939</v>
      </c>
      <c r="H242">
        <v>12422</v>
      </c>
      <c r="I242">
        <v>12000</v>
      </c>
      <c r="J242">
        <v>422</v>
      </c>
      <c r="K242">
        <v>9163</v>
      </c>
      <c r="L242">
        <v>74</v>
      </c>
      <c r="M242">
        <v>3259</v>
      </c>
      <c r="N242">
        <v>26</v>
      </c>
    </row>
    <row r="243" spans="1:14" x14ac:dyDescent="0.35">
      <c r="A243" t="s">
        <v>312</v>
      </c>
      <c r="B243" t="s">
        <v>15</v>
      </c>
      <c r="C243" t="s">
        <v>129</v>
      </c>
      <c r="D243" t="s">
        <v>130</v>
      </c>
      <c r="E243" t="s">
        <v>61</v>
      </c>
      <c r="F243" t="s">
        <v>19</v>
      </c>
      <c r="G243">
        <v>2014</v>
      </c>
      <c r="H243">
        <v>12403</v>
      </c>
      <c r="I243">
        <v>7261</v>
      </c>
      <c r="J243">
        <v>5146</v>
      </c>
      <c r="K243">
        <v>376</v>
      </c>
      <c r="L243">
        <v>3</v>
      </c>
      <c r="M243">
        <v>12027</v>
      </c>
      <c r="N243">
        <v>97</v>
      </c>
    </row>
    <row r="244" spans="1:14" x14ac:dyDescent="0.35">
      <c r="A244" t="s">
        <v>313</v>
      </c>
      <c r="B244" t="s">
        <v>15</v>
      </c>
      <c r="C244" t="s">
        <v>22</v>
      </c>
      <c r="D244" t="s">
        <v>25</v>
      </c>
      <c r="E244" t="s">
        <v>26</v>
      </c>
      <c r="F244" t="s">
        <v>19</v>
      </c>
      <c r="G244">
        <v>2015</v>
      </c>
      <c r="H244">
        <v>12395</v>
      </c>
      <c r="I244">
        <v>4419</v>
      </c>
      <c r="J244">
        <v>7982</v>
      </c>
      <c r="K244">
        <v>1528</v>
      </c>
      <c r="L244">
        <v>12</v>
      </c>
      <c r="M244">
        <v>10866</v>
      </c>
      <c r="N244">
        <v>88</v>
      </c>
    </row>
    <row r="245" spans="1:14" x14ac:dyDescent="0.35">
      <c r="A245" t="s">
        <v>314</v>
      </c>
      <c r="B245" t="s">
        <v>15</v>
      </c>
      <c r="C245" t="s">
        <v>167</v>
      </c>
      <c r="D245" t="s">
        <v>168</v>
      </c>
      <c r="E245" t="s">
        <v>169</v>
      </c>
      <c r="F245" t="s">
        <v>19</v>
      </c>
      <c r="G245">
        <v>2009</v>
      </c>
      <c r="H245">
        <v>12325</v>
      </c>
      <c r="I245">
        <v>10394</v>
      </c>
      <c r="J245">
        <v>1925</v>
      </c>
      <c r="K245">
        <v>8842</v>
      </c>
      <c r="L245">
        <v>72</v>
      </c>
      <c r="M245">
        <v>3483</v>
      </c>
      <c r="N245">
        <v>28</v>
      </c>
    </row>
    <row r="246" spans="1:14" x14ac:dyDescent="0.35">
      <c r="A246" t="s">
        <v>315</v>
      </c>
      <c r="B246" t="s">
        <v>15</v>
      </c>
      <c r="C246" t="s">
        <v>22</v>
      </c>
      <c r="D246" t="s">
        <v>25</v>
      </c>
      <c r="E246" t="s">
        <v>18</v>
      </c>
      <c r="F246" t="s">
        <v>19</v>
      </c>
      <c r="G246">
        <v>2017</v>
      </c>
      <c r="H246">
        <v>12210</v>
      </c>
      <c r="I246">
        <v>8938</v>
      </c>
      <c r="J246">
        <v>3282</v>
      </c>
      <c r="K246">
        <v>3226</v>
      </c>
      <c r="L246">
        <v>26</v>
      </c>
      <c r="M246">
        <v>8983</v>
      </c>
      <c r="N246">
        <v>74</v>
      </c>
    </row>
    <row r="247" spans="1:14" x14ac:dyDescent="0.35">
      <c r="A247" t="s">
        <v>316</v>
      </c>
      <c r="B247" t="s">
        <v>15</v>
      </c>
      <c r="C247" t="s">
        <v>90</v>
      </c>
      <c r="D247" t="s">
        <v>25</v>
      </c>
      <c r="E247" t="s">
        <v>91</v>
      </c>
      <c r="F247" t="s">
        <v>49</v>
      </c>
      <c r="G247">
        <v>2014</v>
      </c>
      <c r="H247">
        <v>12151</v>
      </c>
      <c r="I247">
        <v>8590</v>
      </c>
      <c r="J247">
        <v>3570</v>
      </c>
      <c r="K247">
        <v>2705</v>
      </c>
      <c r="L247">
        <v>22</v>
      </c>
      <c r="M247">
        <v>9446</v>
      </c>
      <c r="N247">
        <v>78</v>
      </c>
    </row>
    <row r="248" spans="1:14" x14ac:dyDescent="0.35">
      <c r="A248" t="s">
        <v>317</v>
      </c>
      <c r="B248" t="s">
        <v>15</v>
      </c>
      <c r="C248" t="s">
        <v>72</v>
      </c>
      <c r="D248" t="s">
        <v>73</v>
      </c>
      <c r="E248" t="s">
        <v>74</v>
      </c>
      <c r="F248" t="s">
        <v>19</v>
      </c>
      <c r="G248">
        <v>2008</v>
      </c>
      <c r="H248">
        <v>12137</v>
      </c>
      <c r="I248">
        <v>8</v>
      </c>
      <c r="J248">
        <v>12136</v>
      </c>
      <c r="K248">
        <v>0</v>
      </c>
      <c r="L248">
        <v>0</v>
      </c>
      <c r="M248">
        <v>12137</v>
      </c>
      <c r="N248">
        <v>100</v>
      </c>
    </row>
    <row r="249" spans="1:14" x14ac:dyDescent="0.35">
      <c r="A249" t="s">
        <v>318</v>
      </c>
      <c r="B249" t="s">
        <v>21</v>
      </c>
      <c r="C249" t="s">
        <v>22</v>
      </c>
      <c r="D249" t="s">
        <v>17</v>
      </c>
      <c r="E249" t="s">
        <v>28</v>
      </c>
      <c r="F249" t="s">
        <v>19</v>
      </c>
      <c r="G249">
        <v>2001</v>
      </c>
      <c r="H249">
        <v>12100</v>
      </c>
      <c r="I249">
        <v>8350</v>
      </c>
      <c r="J249">
        <v>3755</v>
      </c>
      <c r="K249">
        <v>7341</v>
      </c>
      <c r="L249">
        <v>61</v>
      </c>
      <c r="M249">
        <v>4758</v>
      </c>
      <c r="N249">
        <v>39</v>
      </c>
    </row>
    <row r="250" spans="1:14" x14ac:dyDescent="0.35">
      <c r="A250" t="s">
        <v>319</v>
      </c>
      <c r="B250" t="s">
        <v>21</v>
      </c>
      <c r="C250" t="s">
        <v>22</v>
      </c>
      <c r="D250" t="s">
        <v>17</v>
      </c>
      <c r="E250" t="s">
        <v>23</v>
      </c>
      <c r="F250" t="s">
        <v>19</v>
      </c>
      <c r="G250">
        <v>2009</v>
      </c>
      <c r="H250">
        <v>12095</v>
      </c>
      <c r="I250">
        <v>7821</v>
      </c>
      <c r="J250">
        <v>4279</v>
      </c>
      <c r="K250">
        <v>7189</v>
      </c>
      <c r="L250">
        <v>59</v>
      </c>
      <c r="M250">
        <v>4905</v>
      </c>
      <c r="N250">
        <v>41</v>
      </c>
    </row>
    <row r="251" spans="1:14" x14ac:dyDescent="0.35">
      <c r="A251" t="s">
        <v>320</v>
      </c>
      <c r="B251" t="s">
        <v>15</v>
      </c>
      <c r="C251" t="s">
        <v>22</v>
      </c>
      <c r="D251" t="s">
        <v>17</v>
      </c>
      <c r="E251" t="s">
        <v>23</v>
      </c>
      <c r="F251" t="s">
        <v>19</v>
      </c>
      <c r="G251">
        <v>2015</v>
      </c>
      <c r="H251">
        <v>11967</v>
      </c>
      <c r="I251">
        <v>10802</v>
      </c>
      <c r="J251">
        <v>1167</v>
      </c>
      <c r="K251">
        <v>7423</v>
      </c>
      <c r="L251">
        <v>62</v>
      </c>
      <c r="M251">
        <v>4544</v>
      </c>
      <c r="N251">
        <v>38</v>
      </c>
    </row>
    <row r="252" spans="1:14" x14ac:dyDescent="0.35">
      <c r="A252" t="s">
        <v>321</v>
      </c>
      <c r="B252" t="s">
        <v>21</v>
      </c>
      <c r="C252" t="s">
        <v>22</v>
      </c>
      <c r="D252" t="s">
        <v>17</v>
      </c>
      <c r="E252" t="s">
        <v>23</v>
      </c>
      <c r="F252" t="s">
        <v>19</v>
      </c>
      <c r="G252">
        <v>1982</v>
      </c>
      <c r="H252">
        <v>11880</v>
      </c>
      <c r="I252">
        <v>10123</v>
      </c>
      <c r="J252">
        <v>1768</v>
      </c>
      <c r="K252">
        <v>8528</v>
      </c>
      <c r="L252">
        <v>72</v>
      </c>
      <c r="M252">
        <v>3352</v>
      </c>
      <c r="N252">
        <v>28</v>
      </c>
    </row>
    <row r="253" spans="1:14" x14ac:dyDescent="0.35">
      <c r="A253" t="s">
        <v>322</v>
      </c>
      <c r="B253" t="s">
        <v>15</v>
      </c>
      <c r="C253" t="s">
        <v>90</v>
      </c>
      <c r="D253" t="s">
        <v>25</v>
      </c>
      <c r="E253" t="s">
        <v>83</v>
      </c>
      <c r="F253" t="s">
        <v>49</v>
      </c>
      <c r="G253">
        <v>2005</v>
      </c>
      <c r="H253">
        <v>11854</v>
      </c>
      <c r="I253">
        <v>9901</v>
      </c>
      <c r="J253">
        <v>1953</v>
      </c>
      <c r="K253">
        <v>5249</v>
      </c>
      <c r="L253">
        <v>44</v>
      </c>
      <c r="M253">
        <v>6605</v>
      </c>
      <c r="N253">
        <v>56</v>
      </c>
    </row>
    <row r="254" spans="1:14" x14ac:dyDescent="0.35">
      <c r="A254" t="s">
        <v>323</v>
      </c>
      <c r="B254" t="s">
        <v>15</v>
      </c>
      <c r="C254" t="s">
        <v>22</v>
      </c>
      <c r="D254" t="s">
        <v>17</v>
      </c>
      <c r="E254" t="s">
        <v>28</v>
      </c>
      <c r="F254" t="s">
        <v>19</v>
      </c>
      <c r="G254">
        <v>2004</v>
      </c>
      <c r="H254">
        <v>11822</v>
      </c>
      <c r="I254">
        <v>7455</v>
      </c>
      <c r="J254">
        <v>4369</v>
      </c>
      <c r="K254">
        <v>5783</v>
      </c>
      <c r="L254">
        <v>49</v>
      </c>
      <c r="M254">
        <v>6038</v>
      </c>
      <c r="N254">
        <v>51</v>
      </c>
    </row>
    <row r="255" spans="1:14" x14ac:dyDescent="0.35">
      <c r="A255" t="s">
        <v>324</v>
      </c>
      <c r="B255" t="s">
        <v>21</v>
      </c>
      <c r="C255" t="s">
        <v>22</v>
      </c>
      <c r="D255" t="s">
        <v>17</v>
      </c>
      <c r="E255" t="s">
        <v>23</v>
      </c>
      <c r="F255" t="s">
        <v>19</v>
      </c>
      <c r="G255">
        <v>2009</v>
      </c>
      <c r="H255">
        <v>11817</v>
      </c>
      <c r="I255">
        <v>9732</v>
      </c>
      <c r="J255">
        <v>2088</v>
      </c>
      <c r="K255">
        <v>7684</v>
      </c>
      <c r="L255">
        <v>65</v>
      </c>
      <c r="M255">
        <v>4133</v>
      </c>
      <c r="N255">
        <v>35</v>
      </c>
    </row>
    <row r="256" spans="1:14" x14ac:dyDescent="0.35">
      <c r="A256" t="s">
        <v>325</v>
      </c>
      <c r="B256" t="s">
        <v>15</v>
      </c>
      <c r="C256" t="s">
        <v>22</v>
      </c>
      <c r="D256" t="s">
        <v>17</v>
      </c>
      <c r="E256" t="s">
        <v>18</v>
      </c>
      <c r="F256" t="s">
        <v>19</v>
      </c>
      <c r="G256">
        <v>2017</v>
      </c>
      <c r="H256">
        <v>11783</v>
      </c>
      <c r="I256">
        <v>10688</v>
      </c>
      <c r="J256">
        <v>1099</v>
      </c>
      <c r="K256">
        <v>8810</v>
      </c>
      <c r="L256">
        <v>75</v>
      </c>
      <c r="M256">
        <v>2974</v>
      </c>
      <c r="N256">
        <v>25</v>
      </c>
    </row>
    <row r="257" spans="1:14" x14ac:dyDescent="0.35">
      <c r="A257" t="s">
        <v>326</v>
      </c>
      <c r="B257" t="s">
        <v>21</v>
      </c>
      <c r="C257" t="s">
        <v>327</v>
      </c>
      <c r="D257" t="s">
        <v>17</v>
      </c>
      <c r="E257" t="s">
        <v>23</v>
      </c>
      <c r="F257" t="s">
        <v>19</v>
      </c>
      <c r="G257">
        <v>2012</v>
      </c>
      <c r="H257">
        <v>11721</v>
      </c>
      <c r="I257">
        <v>11036</v>
      </c>
      <c r="J257">
        <v>689</v>
      </c>
      <c r="K257">
        <v>10606</v>
      </c>
      <c r="L257">
        <v>90</v>
      </c>
      <c r="M257">
        <v>1115</v>
      </c>
      <c r="N257">
        <v>10</v>
      </c>
    </row>
    <row r="258" spans="1:14" x14ac:dyDescent="0.35">
      <c r="A258" t="s">
        <v>328</v>
      </c>
      <c r="B258" t="s">
        <v>15</v>
      </c>
      <c r="C258" t="s">
        <v>167</v>
      </c>
      <c r="D258" t="s">
        <v>168</v>
      </c>
      <c r="E258" t="s">
        <v>18</v>
      </c>
      <c r="F258" t="s">
        <v>19</v>
      </c>
      <c r="G258">
        <v>2019</v>
      </c>
      <c r="H258">
        <v>11715</v>
      </c>
      <c r="I258">
        <v>1404</v>
      </c>
      <c r="J258">
        <v>10305</v>
      </c>
      <c r="K258">
        <v>8</v>
      </c>
      <c r="L258">
        <v>0</v>
      </c>
      <c r="M258">
        <v>11707</v>
      </c>
      <c r="N258">
        <v>100</v>
      </c>
    </row>
    <row r="259" spans="1:14" x14ac:dyDescent="0.35">
      <c r="A259" t="s">
        <v>329</v>
      </c>
      <c r="B259" t="s">
        <v>15</v>
      </c>
      <c r="C259" t="s">
        <v>22</v>
      </c>
      <c r="D259" t="s">
        <v>17</v>
      </c>
      <c r="E259" t="s">
        <v>99</v>
      </c>
      <c r="F259" t="s">
        <v>19</v>
      </c>
      <c r="G259">
        <v>2015</v>
      </c>
      <c r="H259">
        <v>11679</v>
      </c>
      <c r="I259">
        <v>9802</v>
      </c>
      <c r="J259">
        <v>1883</v>
      </c>
      <c r="K259">
        <v>9722</v>
      </c>
      <c r="L259">
        <v>83</v>
      </c>
      <c r="M259">
        <v>1957</v>
      </c>
      <c r="N259">
        <v>17</v>
      </c>
    </row>
    <row r="260" spans="1:14" x14ac:dyDescent="0.35">
      <c r="A260" t="s">
        <v>330</v>
      </c>
      <c r="B260" t="s">
        <v>15</v>
      </c>
      <c r="C260" t="s">
        <v>331</v>
      </c>
      <c r="D260" t="s">
        <v>17</v>
      </c>
      <c r="E260" t="s">
        <v>18</v>
      </c>
      <c r="F260" t="s">
        <v>19</v>
      </c>
      <c r="G260">
        <v>2002</v>
      </c>
      <c r="H260">
        <v>11641</v>
      </c>
      <c r="I260">
        <v>6068</v>
      </c>
      <c r="J260">
        <v>5576</v>
      </c>
      <c r="K260">
        <v>325</v>
      </c>
      <c r="L260">
        <v>3</v>
      </c>
      <c r="M260">
        <v>11315</v>
      </c>
      <c r="N260">
        <v>97</v>
      </c>
    </row>
    <row r="261" spans="1:14" x14ac:dyDescent="0.35">
      <c r="A261" t="s">
        <v>332</v>
      </c>
      <c r="B261" t="s">
        <v>21</v>
      </c>
      <c r="C261" t="s">
        <v>22</v>
      </c>
      <c r="D261" t="s">
        <v>17</v>
      </c>
      <c r="E261" t="s">
        <v>23</v>
      </c>
      <c r="F261" t="s">
        <v>19</v>
      </c>
      <c r="G261">
        <v>2014</v>
      </c>
      <c r="H261">
        <v>11633</v>
      </c>
      <c r="I261">
        <v>11637</v>
      </c>
      <c r="J261">
        <v>0</v>
      </c>
      <c r="K261">
        <v>11490</v>
      </c>
      <c r="L261">
        <v>99</v>
      </c>
      <c r="M261">
        <v>143</v>
      </c>
      <c r="N261">
        <v>1</v>
      </c>
    </row>
    <row r="262" spans="1:14" x14ac:dyDescent="0.35">
      <c r="A262" t="s">
        <v>333</v>
      </c>
      <c r="B262" t="s">
        <v>15</v>
      </c>
      <c r="C262" t="s">
        <v>22</v>
      </c>
      <c r="D262" t="s">
        <v>17</v>
      </c>
      <c r="E262" t="s">
        <v>52</v>
      </c>
      <c r="F262" t="s">
        <v>19</v>
      </c>
      <c r="G262">
        <v>1954</v>
      </c>
      <c r="H262">
        <v>11589</v>
      </c>
      <c r="I262">
        <v>11545</v>
      </c>
      <c r="J262">
        <v>47</v>
      </c>
      <c r="K262">
        <v>10654</v>
      </c>
      <c r="L262">
        <v>92</v>
      </c>
      <c r="M262">
        <v>935</v>
      </c>
      <c r="N262">
        <v>8</v>
      </c>
    </row>
    <row r="263" spans="1:14" x14ac:dyDescent="0.35">
      <c r="A263" t="s">
        <v>334</v>
      </c>
      <c r="B263" t="s">
        <v>15</v>
      </c>
      <c r="C263" t="s">
        <v>22</v>
      </c>
      <c r="D263" t="s">
        <v>17</v>
      </c>
      <c r="E263" t="s">
        <v>18</v>
      </c>
      <c r="F263" t="s">
        <v>19</v>
      </c>
      <c r="G263">
        <v>2006</v>
      </c>
      <c r="H263">
        <v>11575</v>
      </c>
      <c r="I263">
        <v>3209</v>
      </c>
      <c r="J263">
        <v>8366</v>
      </c>
      <c r="K263">
        <v>747</v>
      </c>
      <c r="L263">
        <v>6</v>
      </c>
      <c r="M263">
        <v>10828</v>
      </c>
      <c r="N263">
        <v>94</v>
      </c>
    </row>
    <row r="264" spans="1:14" x14ac:dyDescent="0.35">
      <c r="A264" t="s">
        <v>335</v>
      </c>
      <c r="B264" t="s">
        <v>15</v>
      </c>
      <c r="C264" t="s">
        <v>336</v>
      </c>
      <c r="D264" t="s">
        <v>25</v>
      </c>
      <c r="E264" t="s">
        <v>26</v>
      </c>
      <c r="F264" t="s">
        <v>19</v>
      </c>
      <c r="G264">
        <v>2019</v>
      </c>
      <c r="H264">
        <v>11566</v>
      </c>
      <c r="I264">
        <v>7224</v>
      </c>
      <c r="J264">
        <v>4349</v>
      </c>
      <c r="K264">
        <v>4663</v>
      </c>
      <c r="L264">
        <v>40</v>
      </c>
      <c r="M264">
        <v>6903</v>
      </c>
      <c r="N264">
        <v>60</v>
      </c>
    </row>
    <row r="265" spans="1:14" x14ac:dyDescent="0.35">
      <c r="A265" t="s">
        <v>337</v>
      </c>
      <c r="B265" t="s">
        <v>15</v>
      </c>
      <c r="C265" t="s">
        <v>338</v>
      </c>
      <c r="D265" t="s">
        <v>17</v>
      </c>
      <c r="E265" t="s">
        <v>61</v>
      </c>
      <c r="F265" t="s">
        <v>19</v>
      </c>
      <c r="G265">
        <v>2010</v>
      </c>
      <c r="H265">
        <v>11481</v>
      </c>
      <c r="I265">
        <v>11486</v>
      </c>
      <c r="J265">
        <v>0</v>
      </c>
      <c r="K265">
        <v>236</v>
      </c>
      <c r="L265">
        <v>2</v>
      </c>
      <c r="M265">
        <v>11246</v>
      </c>
      <c r="N265">
        <v>98</v>
      </c>
    </row>
    <row r="266" spans="1:14" x14ac:dyDescent="0.35">
      <c r="A266" t="s">
        <v>339</v>
      </c>
      <c r="B266" t="s">
        <v>79</v>
      </c>
      <c r="C266" t="s">
        <v>22</v>
      </c>
      <c r="D266" t="s">
        <v>17</v>
      </c>
      <c r="E266" t="s">
        <v>52</v>
      </c>
      <c r="F266" t="s">
        <v>49</v>
      </c>
      <c r="G266">
        <v>2005</v>
      </c>
      <c r="H266">
        <v>11480</v>
      </c>
      <c r="I266">
        <v>8241</v>
      </c>
      <c r="J266">
        <v>3244</v>
      </c>
      <c r="K266">
        <v>11420</v>
      </c>
      <c r="L266">
        <v>99</v>
      </c>
      <c r="M266">
        <v>60</v>
      </c>
      <c r="N266">
        <v>1</v>
      </c>
    </row>
    <row r="267" spans="1:14" x14ac:dyDescent="0.35">
      <c r="A267" t="s">
        <v>340</v>
      </c>
      <c r="B267" t="s">
        <v>15</v>
      </c>
      <c r="C267" t="s">
        <v>22</v>
      </c>
      <c r="D267" t="s">
        <v>17</v>
      </c>
      <c r="E267" t="s">
        <v>18</v>
      </c>
      <c r="F267" t="s">
        <v>19</v>
      </c>
      <c r="G267">
        <v>2012</v>
      </c>
      <c r="H267">
        <v>11475</v>
      </c>
      <c r="I267">
        <v>3956</v>
      </c>
      <c r="J267">
        <v>7519</v>
      </c>
      <c r="K267">
        <v>546</v>
      </c>
      <c r="L267">
        <v>5</v>
      </c>
      <c r="M267">
        <v>10929</v>
      </c>
      <c r="N267">
        <v>95</v>
      </c>
    </row>
    <row r="268" spans="1:14" x14ac:dyDescent="0.35">
      <c r="A268" t="s">
        <v>341</v>
      </c>
      <c r="B268" t="s">
        <v>15</v>
      </c>
      <c r="C268" t="s">
        <v>60</v>
      </c>
      <c r="D268" t="s">
        <v>258</v>
      </c>
      <c r="E268" t="s">
        <v>18</v>
      </c>
      <c r="F268" t="s">
        <v>19</v>
      </c>
      <c r="G268">
        <v>2017</v>
      </c>
      <c r="H268">
        <v>11460</v>
      </c>
      <c r="I268">
        <v>7070</v>
      </c>
      <c r="J268">
        <v>4400</v>
      </c>
      <c r="K268">
        <v>5201</v>
      </c>
      <c r="L268">
        <v>45</v>
      </c>
      <c r="M268">
        <v>6258</v>
      </c>
      <c r="N268">
        <v>55</v>
      </c>
    </row>
    <row r="269" spans="1:14" x14ac:dyDescent="0.35">
      <c r="A269" t="s">
        <v>342</v>
      </c>
      <c r="B269" t="s">
        <v>15</v>
      </c>
      <c r="C269" t="s">
        <v>22</v>
      </c>
      <c r="D269" t="s">
        <v>17</v>
      </c>
      <c r="E269" t="s">
        <v>28</v>
      </c>
      <c r="F269" t="s">
        <v>19</v>
      </c>
      <c r="G269">
        <v>2006</v>
      </c>
      <c r="H269">
        <v>11428</v>
      </c>
      <c r="I269">
        <v>7562</v>
      </c>
      <c r="J269">
        <v>3868</v>
      </c>
      <c r="K269">
        <v>6109</v>
      </c>
      <c r="L269">
        <v>53</v>
      </c>
      <c r="M269">
        <v>5320</v>
      </c>
      <c r="N269">
        <v>47</v>
      </c>
    </row>
    <row r="270" spans="1:14" x14ac:dyDescent="0.35">
      <c r="A270" t="s">
        <v>343</v>
      </c>
      <c r="B270" t="s">
        <v>15</v>
      </c>
      <c r="C270" t="s">
        <v>22</v>
      </c>
      <c r="D270" t="s">
        <v>17</v>
      </c>
      <c r="E270" t="s">
        <v>52</v>
      </c>
      <c r="F270" t="s">
        <v>49</v>
      </c>
      <c r="G270">
        <v>1968</v>
      </c>
      <c r="H270">
        <v>11314</v>
      </c>
      <c r="I270">
        <v>11274</v>
      </c>
      <c r="J270">
        <v>45</v>
      </c>
      <c r="K270">
        <v>11265</v>
      </c>
      <c r="L270">
        <v>100</v>
      </c>
      <c r="M270">
        <v>49</v>
      </c>
      <c r="N270">
        <v>0</v>
      </c>
    </row>
    <row r="271" spans="1:14" x14ac:dyDescent="0.35">
      <c r="A271" t="s">
        <v>344</v>
      </c>
      <c r="B271" t="s">
        <v>15</v>
      </c>
      <c r="C271" t="s">
        <v>22</v>
      </c>
      <c r="D271" t="s">
        <v>17</v>
      </c>
      <c r="E271" t="s">
        <v>28</v>
      </c>
      <c r="F271" t="s">
        <v>19</v>
      </c>
      <c r="G271">
        <v>2005</v>
      </c>
      <c r="H271">
        <v>11238</v>
      </c>
      <c r="I271">
        <v>4610</v>
      </c>
      <c r="J271">
        <v>6629</v>
      </c>
      <c r="K271">
        <v>840</v>
      </c>
      <c r="L271">
        <v>7</v>
      </c>
      <c r="M271">
        <v>10398</v>
      </c>
      <c r="N271">
        <v>93</v>
      </c>
    </row>
    <row r="272" spans="1:14" x14ac:dyDescent="0.35">
      <c r="A272" t="s">
        <v>345</v>
      </c>
      <c r="B272" t="s">
        <v>15</v>
      </c>
      <c r="C272" t="s">
        <v>46</v>
      </c>
      <c r="D272" t="s">
        <v>47</v>
      </c>
      <c r="E272" t="s">
        <v>48</v>
      </c>
      <c r="F272" t="s">
        <v>19</v>
      </c>
      <c r="G272">
        <v>2013</v>
      </c>
      <c r="H272">
        <v>11233</v>
      </c>
      <c r="I272">
        <v>9654</v>
      </c>
      <c r="J272">
        <v>1584</v>
      </c>
      <c r="K272">
        <v>4076</v>
      </c>
      <c r="L272">
        <v>36</v>
      </c>
      <c r="M272">
        <v>7156</v>
      </c>
      <c r="N272">
        <v>64</v>
      </c>
    </row>
    <row r="273" spans="1:14" x14ac:dyDescent="0.35">
      <c r="A273" t="s">
        <v>346</v>
      </c>
      <c r="B273" t="s">
        <v>15</v>
      </c>
      <c r="C273" t="s">
        <v>22</v>
      </c>
      <c r="D273" t="s">
        <v>17</v>
      </c>
      <c r="E273" t="s">
        <v>61</v>
      </c>
      <c r="F273" t="s">
        <v>19</v>
      </c>
      <c r="G273">
        <v>2010</v>
      </c>
      <c r="H273">
        <v>11199</v>
      </c>
      <c r="I273">
        <v>5328</v>
      </c>
      <c r="J273">
        <v>5873</v>
      </c>
      <c r="K273">
        <v>962</v>
      </c>
      <c r="L273">
        <v>9</v>
      </c>
      <c r="M273">
        <v>10237</v>
      </c>
      <c r="N273">
        <v>91</v>
      </c>
    </row>
    <row r="274" spans="1:14" x14ac:dyDescent="0.35">
      <c r="A274" t="s">
        <v>347</v>
      </c>
      <c r="B274" t="s">
        <v>15</v>
      </c>
      <c r="C274" t="s">
        <v>22</v>
      </c>
      <c r="D274" t="s">
        <v>17</v>
      </c>
      <c r="E274" t="s">
        <v>18</v>
      </c>
      <c r="F274" t="s">
        <v>19</v>
      </c>
      <c r="G274">
        <v>2006</v>
      </c>
      <c r="H274">
        <v>11196</v>
      </c>
      <c r="I274">
        <v>10288</v>
      </c>
      <c r="J274">
        <v>911</v>
      </c>
      <c r="K274">
        <v>657</v>
      </c>
      <c r="L274">
        <v>6</v>
      </c>
      <c r="M274">
        <v>10539</v>
      </c>
      <c r="N274">
        <v>94</v>
      </c>
    </row>
    <row r="275" spans="1:14" x14ac:dyDescent="0.35">
      <c r="A275" t="s">
        <v>348</v>
      </c>
      <c r="B275" t="s">
        <v>15</v>
      </c>
      <c r="C275" t="s">
        <v>349</v>
      </c>
      <c r="D275" t="s">
        <v>17</v>
      </c>
      <c r="E275" t="s">
        <v>350</v>
      </c>
      <c r="F275" t="s">
        <v>19</v>
      </c>
      <c r="G275">
        <v>2011</v>
      </c>
      <c r="H275">
        <v>11149</v>
      </c>
      <c r="I275">
        <v>3260</v>
      </c>
      <c r="J275">
        <v>7882</v>
      </c>
      <c r="K275">
        <v>1292</v>
      </c>
      <c r="L275">
        <v>12</v>
      </c>
      <c r="M275">
        <v>9857</v>
      </c>
      <c r="N275">
        <v>88</v>
      </c>
    </row>
    <row r="276" spans="1:14" x14ac:dyDescent="0.35">
      <c r="A276" t="s">
        <v>351</v>
      </c>
      <c r="B276" t="s">
        <v>15</v>
      </c>
      <c r="C276" t="s">
        <v>34</v>
      </c>
      <c r="D276" t="s">
        <v>17</v>
      </c>
      <c r="E276" t="s">
        <v>52</v>
      </c>
      <c r="F276" t="s">
        <v>49</v>
      </c>
      <c r="G276">
        <v>1994</v>
      </c>
      <c r="H276">
        <v>11064</v>
      </c>
      <c r="I276">
        <v>11074</v>
      </c>
      <c r="J276">
        <v>0</v>
      </c>
      <c r="K276">
        <v>11061</v>
      </c>
      <c r="L276">
        <v>100</v>
      </c>
      <c r="M276">
        <v>2</v>
      </c>
      <c r="N276">
        <v>0</v>
      </c>
    </row>
    <row r="277" spans="1:14" x14ac:dyDescent="0.35">
      <c r="A277" t="s">
        <v>352</v>
      </c>
      <c r="B277" t="s">
        <v>21</v>
      </c>
      <c r="C277" t="s">
        <v>22</v>
      </c>
      <c r="D277" t="s">
        <v>17</v>
      </c>
      <c r="E277" t="s">
        <v>23</v>
      </c>
      <c r="F277" t="s">
        <v>19</v>
      </c>
      <c r="G277">
        <v>1999</v>
      </c>
      <c r="H277">
        <v>11060</v>
      </c>
      <c r="I277">
        <v>6056</v>
      </c>
      <c r="J277">
        <v>5005</v>
      </c>
      <c r="K277">
        <v>4661</v>
      </c>
      <c r="L277">
        <v>42</v>
      </c>
      <c r="M277">
        <v>6399</v>
      </c>
      <c r="N277">
        <v>58</v>
      </c>
    </row>
    <row r="278" spans="1:14" x14ac:dyDescent="0.35">
      <c r="A278" t="s">
        <v>353</v>
      </c>
      <c r="B278" t="s">
        <v>15</v>
      </c>
      <c r="C278" t="s">
        <v>22</v>
      </c>
      <c r="D278" t="s">
        <v>17</v>
      </c>
      <c r="E278" t="s">
        <v>292</v>
      </c>
      <c r="F278" t="s">
        <v>49</v>
      </c>
      <c r="G278">
        <v>1999</v>
      </c>
      <c r="H278">
        <v>11051</v>
      </c>
      <c r="I278">
        <v>11056</v>
      </c>
      <c r="J278">
        <v>0</v>
      </c>
      <c r="K278">
        <v>11051</v>
      </c>
      <c r="L278">
        <v>100</v>
      </c>
      <c r="M278">
        <v>0</v>
      </c>
      <c r="N278">
        <v>0</v>
      </c>
    </row>
    <row r="279" spans="1:14" x14ac:dyDescent="0.35">
      <c r="A279" t="s">
        <v>354</v>
      </c>
      <c r="B279" t="s">
        <v>15</v>
      </c>
      <c r="C279" t="s">
        <v>72</v>
      </c>
      <c r="D279" t="s">
        <v>73</v>
      </c>
      <c r="E279" t="s">
        <v>74</v>
      </c>
      <c r="F279" t="s">
        <v>19</v>
      </c>
      <c r="G279">
        <v>2004</v>
      </c>
      <c r="H279">
        <v>11015</v>
      </c>
      <c r="I279">
        <v>5794</v>
      </c>
      <c r="J279">
        <v>5236</v>
      </c>
      <c r="K279">
        <v>0</v>
      </c>
      <c r="L279">
        <v>0</v>
      </c>
      <c r="M279">
        <v>11015</v>
      </c>
      <c r="N279">
        <v>100</v>
      </c>
    </row>
    <row r="280" spans="1:14" x14ac:dyDescent="0.35">
      <c r="A280" t="s">
        <v>355</v>
      </c>
      <c r="B280" t="s">
        <v>21</v>
      </c>
      <c r="C280" t="s">
        <v>34</v>
      </c>
      <c r="D280" t="s">
        <v>17</v>
      </c>
      <c r="E280" t="s">
        <v>23</v>
      </c>
      <c r="F280" t="s">
        <v>49</v>
      </c>
      <c r="G280">
        <v>2011</v>
      </c>
      <c r="H280">
        <v>10986</v>
      </c>
      <c r="I280">
        <v>0</v>
      </c>
      <c r="J280">
        <v>11025</v>
      </c>
      <c r="K280">
        <v>6917</v>
      </c>
      <c r="L280">
        <v>63</v>
      </c>
      <c r="M280">
        <v>4069</v>
      </c>
      <c r="N280">
        <v>37</v>
      </c>
    </row>
    <row r="281" spans="1:14" x14ac:dyDescent="0.35">
      <c r="A281" t="s">
        <v>356</v>
      </c>
      <c r="B281" t="s">
        <v>15</v>
      </c>
      <c r="C281" t="s">
        <v>43</v>
      </c>
      <c r="D281" t="s">
        <v>25</v>
      </c>
      <c r="E281" t="s">
        <v>26</v>
      </c>
      <c r="F281" t="s">
        <v>19</v>
      </c>
      <c r="G281">
        <v>2019</v>
      </c>
      <c r="H281">
        <v>10974</v>
      </c>
      <c r="I281">
        <v>9512</v>
      </c>
      <c r="J281">
        <v>1474</v>
      </c>
      <c r="K281">
        <v>3646</v>
      </c>
      <c r="L281">
        <v>33</v>
      </c>
      <c r="M281">
        <v>7328</v>
      </c>
      <c r="N281">
        <v>67</v>
      </c>
    </row>
    <row r="282" spans="1:14" x14ac:dyDescent="0.35">
      <c r="A282" t="s">
        <v>357</v>
      </c>
      <c r="B282" t="s">
        <v>15</v>
      </c>
      <c r="C282" t="s">
        <v>22</v>
      </c>
      <c r="D282" t="s">
        <v>17</v>
      </c>
      <c r="E282" t="s">
        <v>18</v>
      </c>
      <c r="F282" t="s">
        <v>19</v>
      </c>
      <c r="G282">
        <v>1993</v>
      </c>
      <c r="H282">
        <v>10969</v>
      </c>
      <c r="I282">
        <v>5006</v>
      </c>
      <c r="J282">
        <v>5977</v>
      </c>
      <c r="K282">
        <v>7035</v>
      </c>
      <c r="L282">
        <v>64</v>
      </c>
      <c r="M282">
        <v>3934</v>
      </c>
      <c r="N282">
        <v>36</v>
      </c>
    </row>
    <row r="283" spans="1:14" x14ac:dyDescent="0.35">
      <c r="A283" t="s">
        <v>358</v>
      </c>
      <c r="B283" t="s">
        <v>21</v>
      </c>
      <c r="C283" t="s">
        <v>246</v>
      </c>
      <c r="D283" t="s">
        <v>17</v>
      </c>
      <c r="E283" t="s">
        <v>58</v>
      </c>
      <c r="F283" t="s">
        <v>19</v>
      </c>
      <c r="G283">
        <v>2012</v>
      </c>
      <c r="H283">
        <v>10939</v>
      </c>
      <c r="I283">
        <v>9359</v>
      </c>
      <c r="J283">
        <v>1615</v>
      </c>
      <c r="K283">
        <v>10795</v>
      </c>
      <c r="L283">
        <v>99</v>
      </c>
      <c r="M283">
        <v>144</v>
      </c>
      <c r="N283">
        <v>1</v>
      </c>
    </row>
    <row r="284" spans="1:14" x14ac:dyDescent="0.35">
      <c r="A284" t="s">
        <v>359</v>
      </c>
      <c r="B284" t="s">
        <v>15</v>
      </c>
      <c r="C284" t="s">
        <v>22</v>
      </c>
      <c r="D284" t="s">
        <v>25</v>
      </c>
      <c r="E284" t="s">
        <v>26</v>
      </c>
      <c r="F284" t="s">
        <v>19</v>
      </c>
      <c r="G284">
        <v>2006</v>
      </c>
      <c r="H284">
        <v>10933</v>
      </c>
      <c r="I284">
        <v>10906</v>
      </c>
      <c r="J284">
        <v>38</v>
      </c>
      <c r="K284">
        <v>8</v>
      </c>
      <c r="L284">
        <v>0</v>
      </c>
      <c r="M284">
        <v>10925</v>
      </c>
      <c r="N284">
        <v>100</v>
      </c>
    </row>
    <row r="285" spans="1:14" x14ac:dyDescent="0.35">
      <c r="A285" t="s">
        <v>360</v>
      </c>
      <c r="B285" t="s">
        <v>15</v>
      </c>
      <c r="C285" t="s">
        <v>167</v>
      </c>
      <c r="D285" t="s">
        <v>168</v>
      </c>
      <c r="E285" t="s">
        <v>169</v>
      </c>
      <c r="F285" t="s">
        <v>49</v>
      </c>
      <c r="G285">
        <v>2011</v>
      </c>
      <c r="H285">
        <v>10914</v>
      </c>
      <c r="I285">
        <v>9203</v>
      </c>
      <c r="J285">
        <v>1722</v>
      </c>
      <c r="K285">
        <v>8573</v>
      </c>
      <c r="L285">
        <v>79</v>
      </c>
      <c r="M285">
        <v>2341</v>
      </c>
      <c r="N285">
        <v>21</v>
      </c>
    </row>
    <row r="286" spans="1:14" x14ac:dyDescent="0.35">
      <c r="A286" t="s">
        <v>361</v>
      </c>
      <c r="B286" t="s">
        <v>15</v>
      </c>
      <c r="C286" t="s">
        <v>129</v>
      </c>
      <c r="D286" t="s">
        <v>130</v>
      </c>
      <c r="E286" t="s">
        <v>292</v>
      </c>
      <c r="F286" t="s">
        <v>49</v>
      </c>
      <c r="G286">
        <v>1995</v>
      </c>
      <c r="H286">
        <v>10903</v>
      </c>
      <c r="I286">
        <v>10910</v>
      </c>
      <c r="J286">
        <v>0</v>
      </c>
      <c r="K286">
        <v>10773</v>
      </c>
      <c r="L286">
        <v>99</v>
      </c>
      <c r="M286">
        <v>129</v>
      </c>
      <c r="N286">
        <v>1</v>
      </c>
    </row>
    <row r="287" spans="1:14" x14ac:dyDescent="0.35">
      <c r="A287" t="s">
        <v>362</v>
      </c>
      <c r="B287" t="s">
        <v>15</v>
      </c>
      <c r="C287" t="s">
        <v>34</v>
      </c>
      <c r="D287" t="s">
        <v>17</v>
      </c>
      <c r="E287" t="s">
        <v>23</v>
      </c>
      <c r="F287" t="s">
        <v>19</v>
      </c>
      <c r="G287">
        <v>2010</v>
      </c>
      <c r="H287">
        <v>10783</v>
      </c>
      <c r="I287">
        <v>7412</v>
      </c>
      <c r="J287">
        <v>3373</v>
      </c>
      <c r="K287">
        <v>5820</v>
      </c>
      <c r="L287">
        <v>54</v>
      </c>
      <c r="M287">
        <v>4963</v>
      </c>
      <c r="N287">
        <v>46</v>
      </c>
    </row>
    <row r="288" spans="1:14" x14ac:dyDescent="0.35">
      <c r="A288" t="s">
        <v>363</v>
      </c>
      <c r="B288" t="s">
        <v>15</v>
      </c>
      <c r="C288" t="s">
        <v>22</v>
      </c>
      <c r="D288" t="s">
        <v>25</v>
      </c>
      <c r="E288" t="s">
        <v>26</v>
      </c>
      <c r="F288" t="s">
        <v>19</v>
      </c>
      <c r="G288">
        <v>1999</v>
      </c>
      <c r="H288">
        <v>10776</v>
      </c>
      <c r="I288">
        <v>10712</v>
      </c>
      <c r="J288">
        <v>64</v>
      </c>
      <c r="K288">
        <v>292</v>
      </c>
      <c r="L288">
        <v>3</v>
      </c>
      <c r="M288">
        <v>10484</v>
      </c>
      <c r="N288">
        <v>97</v>
      </c>
    </row>
    <row r="289" spans="1:14" x14ac:dyDescent="0.35">
      <c r="A289" t="s">
        <v>364</v>
      </c>
      <c r="B289" t="s">
        <v>15</v>
      </c>
      <c r="C289" t="s">
        <v>22</v>
      </c>
      <c r="D289" t="s">
        <v>25</v>
      </c>
      <c r="E289" t="s">
        <v>26</v>
      </c>
      <c r="F289" t="s">
        <v>19</v>
      </c>
      <c r="G289">
        <v>2010</v>
      </c>
      <c r="H289">
        <v>10772</v>
      </c>
      <c r="I289">
        <v>596</v>
      </c>
      <c r="J289">
        <v>10181</v>
      </c>
      <c r="K289">
        <v>689</v>
      </c>
      <c r="L289">
        <v>6</v>
      </c>
      <c r="M289">
        <v>10083</v>
      </c>
      <c r="N289">
        <v>94</v>
      </c>
    </row>
    <row r="290" spans="1:14" x14ac:dyDescent="0.35">
      <c r="A290" t="s">
        <v>365</v>
      </c>
      <c r="B290" t="s">
        <v>15</v>
      </c>
      <c r="C290" t="s">
        <v>22</v>
      </c>
      <c r="D290" t="s">
        <v>17</v>
      </c>
      <c r="E290" t="s">
        <v>52</v>
      </c>
      <c r="F290" t="s">
        <v>49</v>
      </c>
      <c r="G290">
        <v>1984</v>
      </c>
      <c r="H290">
        <v>10771</v>
      </c>
      <c r="I290">
        <v>10772</v>
      </c>
      <c r="J290">
        <v>1</v>
      </c>
      <c r="K290">
        <v>10576</v>
      </c>
      <c r="L290">
        <v>98</v>
      </c>
      <c r="M290">
        <v>195</v>
      </c>
      <c r="N290">
        <v>2</v>
      </c>
    </row>
    <row r="291" spans="1:14" x14ac:dyDescent="0.35">
      <c r="A291" t="s">
        <v>366</v>
      </c>
      <c r="B291" t="s">
        <v>15</v>
      </c>
      <c r="C291" t="s">
        <v>22</v>
      </c>
      <c r="D291" t="s">
        <v>17</v>
      </c>
      <c r="E291" t="s">
        <v>52</v>
      </c>
      <c r="F291" t="s">
        <v>49</v>
      </c>
      <c r="G291">
        <v>2004</v>
      </c>
      <c r="H291">
        <v>10768</v>
      </c>
      <c r="I291">
        <v>1894</v>
      </c>
      <c r="J291">
        <v>8878</v>
      </c>
      <c r="K291">
        <v>10569</v>
      </c>
      <c r="L291">
        <v>98</v>
      </c>
      <c r="M291">
        <v>198</v>
      </c>
      <c r="N291">
        <v>2</v>
      </c>
    </row>
    <row r="292" spans="1:14" x14ac:dyDescent="0.35">
      <c r="A292" t="s">
        <v>367</v>
      </c>
      <c r="B292" t="s">
        <v>15</v>
      </c>
      <c r="C292" t="s">
        <v>22</v>
      </c>
      <c r="D292" t="s">
        <v>17</v>
      </c>
      <c r="E292" t="s">
        <v>52</v>
      </c>
      <c r="F292" t="s">
        <v>49</v>
      </c>
      <c r="G292">
        <v>1995</v>
      </c>
      <c r="H292">
        <v>10760</v>
      </c>
      <c r="I292">
        <v>10630</v>
      </c>
      <c r="J292">
        <v>134</v>
      </c>
      <c r="K292">
        <v>10585</v>
      </c>
      <c r="L292">
        <v>98</v>
      </c>
      <c r="M292">
        <v>176</v>
      </c>
      <c r="N292">
        <v>2</v>
      </c>
    </row>
    <row r="293" spans="1:14" x14ac:dyDescent="0.35">
      <c r="A293" t="s">
        <v>368</v>
      </c>
      <c r="B293" t="s">
        <v>21</v>
      </c>
      <c r="C293" t="s">
        <v>22</v>
      </c>
      <c r="D293" t="s">
        <v>17</v>
      </c>
      <c r="E293" t="s">
        <v>28</v>
      </c>
      <c r="F293" t="s">
        <v>19</v>
      </c>
      <c r="G293">
        <v>2018</v>
      </c>
      <c r="H293">
        <v>10756</v>
      </c>
      <c r="I293">
        <v>7776</v>
      </c>
      <c r="J293">
        <v>2980</v>
      </c>
      <c r="K293">
        <v>3835</v>
      </c>
      <c r="L293">
        <v>36</v>
      </c>
      <c r="M293">
        <v>6922</v>
      </c>
      <c r="N293">
        <v>64</v>
      </c>
    </row>
    <row r="294" spans="1:14" x14ac:dyDescent="0.35">
      <c r="A294" t="s">
        <v>369</v>
      </c>
      <c r="B294" t="s">
        <v>21</v>
      </c>
      <c r="C294" t="s">
        <v>22</v>
      </c>
      <c r="D294" t="s">
        <v>17</v>
      </c>
      <c r="E294" t="s">
        <v>28</v>
      </c>
      <c r="F294" t="s">
        <v>19</v>
      </c>
      <c r="G294">
        <v>2002</v>
      </c>
      <c r="H294">
        <v>10732</v>
      </c>
      <c r="I294">
        <v>6225</v>
      </c>
      <c r="J294">
        <v>4507</v>
      </c>
      <c r="K294">
        <v>3239</v>
      </c>
      <c r="L294">
        <v>30</v>
      </c>
      <c r="M294">
        <v>7492</v>
      </c>
      <c r="N294">
        <v>70</v>
      </c>
    </row>
    <row r="295" spans="1:14" x14ac:dyDescent="0.35">
      <c r="A295" t="s">
        <v>370</v>
      </c>
      <c r="B295" t="s">
        <v>21</v>
      </c>
      <c r="C295" t="s">
        <v>22</v>
      </c>
      <c r="D295" t="s">
        <v>17</v>
      </c>
      <c r="E295" t="s">
        <v>28</v>
      </c>
      <c r="F295" t="s">
        <v>19</v>
      </c>
      <c r="G295">
        <v>2014</v>
      </c>
      <c r="H295">
        <v>10713</v>
      </c>
      <c r="I295">
        <v>6060</v>
      </c>
      <c r="J295">
        <v>4663</v>
      </c>
      <c r="K295">
        <v>4257</v>
      </c>
      <c r="L295">
        <v>40</v>
      </c>
      <c r="M295">
        <v>6455</v>
      </c>
      <c r="N295">
        <v>60</v>
      </c>
    </row>
    <row r="296" spans="1:14" x14ac:dyDescent="0.35">
      <c r="A296" t="s">
        <v>371</v>
      </c>
      <c r="B296" t="s">
        <v>79</v>
      </c>
      <c r="C296" t="s">
        <v>34</v>
      </c>
      <c r="D296" t="s">
        <v>17</v>
      </c>
      <c r="E296" t="s">
        <v>23</v>
      </c>
      <c r="F296" t="s">
        <v>49</v>
      </c>
      <c r="G296">
        <v>2012</v>
      </c>
      <c r="H296">
        <v>10711</v>
      </c>
      <c r="I296">
        <v>10381</v>
      </c>
      <c r="J296">
        <v>334</v>
      </c>
      <c r="K296">
        <v>73</v>
      </c>
      <c r="L296">
        <v>1</v>
      </c>
      <c r="M296">
        <v>10638</v>
      </c>
      <c r="N296">
        <v>99</v>
      </c>
    </row>
    <row r="297" spans="1:14" x14ac:dyDescent="0.35">
      <c r="A297" t="s">
        <v>372</v>
      </c>
      <c r="B297" t="s">
        <v>15</v>
      </c>
      <c r="C297" t="s">
        <v>34</v>
      </c>
      <c r="D297" t="s">
        <v>17</v>
      </c>
      <c r="E297" t="s">
        <v>52</v>
      </c>
      <c r="F297" t="s">
        <v>19</v>
      </c>
      <c r="G297">
        <v>1967</v>
      </c>
      <c r="H297">
        <v>10697</v>
      </c>
      <c r="I297">
        <v>8380</v>
      </c>
      <c r="J297">
        <v>2317</v>
      </c>
      <c r="K297">
        <v>8204</v>
      </c>
      <c r="L297">
        <v>77</v>
      </c>
      <c r="M297">
        <v>2492</v>
      </c>
      <c r="N297">
        <v>23</v>
      </c>
    </row>
    <row r="298" spans="1:14" x14ac:dyDescent="0.35">
      <c r="A298" t="s">
        <v>373</v>
      </c>
      <c r="B298" t="s">
        <v>15</v>
      </c>
      <c r="C298" t="s">
        <v>205</v>
      </c>
      <c r="D298" t="s">
        <v>17</v>
      </c>
      <c r="E298" t="s">
        <v>52</v>
      </c>
      <c r="F298" t="s">
        <v>49</v>
      </c>
      <c r="G298">
        <v>1979</v>
      </c>
      <c r="H298">
        <v>10616</v>
      </c>
      <c r="I298">
        <v>10020</v>
      </c>
      <c r="J298">
        <v>599</v>
      </c>
      <c r="K298">
        <v>9771</v>
      </c>
      <c r="L298">
        <v>92</v>
      </c>
      <c r="M298">
        <v>845</v>
      </c>
      <c r="N298">
        <v>8</v>
      </c>
    </row>
    <row r="299" spans="1:14" x14ac:dyDescent="0.35">
      <c r="A299" t="s">
        <v>374</v>
      </c>
      <c r="B299" t="s">
        <v>15</v>
      </c>
      <c r="C299" t="s">
        <v>22</v>
      </c>
      <c r="D299" t="s">
        <v>25</v>
      </c>
      <c r="E299" t="s">
        <v>152</v>
      </c>
      <c r="F299" t="s">
        <v>49</v>
      </c>
      <c r="G299">
        <v>1996</v>
      </c>
      <c r="H299">
        <v>10607</v>
      </c>
      <c r="I299">
        <v>10520</v>
      </c>
      <c r="J299">
        <v>93</v>
      </c>
      <c r="K299">
        <v>8371</v>
      </c>
      <c r="L299">
        <v>79</v>
      </c>
      <c r="M299">
        <v>2236</v>
      </c>
      <c r="N299">
        <v>21</v>
      </c>
    </row>
    <row r="300" spans="1:14" x14ac:dyDescent="0.35">
      <c r="A300" t="s">
        <v>375</v>
      </c>
      <c r="B300" t="s">
        <v>15</v>
      </c>
      <c r="C300" t="s">
        <v>22</v>
      </c>
      <c r="D300" t="s">
        <v>17</v>
      </c>
      <c r="E300" t="s">
        <v>52</v>
      </c>
      <c r="F300" t="s">
        <v>49</v>
      </c>
      <c r="G300">
        <v>1994</v>
      </c>
      <c r="H300">
        <v>10571</v>
      </c>
      <c r="I300">
        <v>10570</v>
      </c>
      <c r="J300">
        <v>4</v>
      </c>
      <c r="K300">
        <v>10556</v>
      </c>
      <c r="L300">
        <v>100</v>
      </c>
      <c r="M300">
        <v>16</v>
      </c>
      <c r="N300">
        <v>0</v>
      </c>
    </row>
    <row r="301" spans="1:14" x14ac:dyDescent="0.35">
      <c r="A301" t="s">
        <v>376</v>
      </c>
      <c r="B301" t="s">
        <v>15</v>
      </c>
      <c r="C301" t="s">
        <v>34</v>
      </c>
      <c r="D301" t="s">
        <v>17</v>
      </c>
      <c r="E301" t="s">
        <v>52</v>
      </c>
      <c r="F301" t="s">
        <v>49</v>
      </c>
      <c r="G301">
        <v>2012</v>
      </c>
      <c r="H301">
        <v>10490</v>
      </c>
      <c r="I301">
        <v>10192</v>
      </c>
      <c r="J301">
        <v>302</v>
      </c>
      <c r="K301">
        <v>10166</v>
      </c>
      <c r="L301">
        <v>97</v>
      </c>
      <c r="M301">
        <v>324</v>
      </c>
      <c r="N301">
        <v>3</v>
      </c>
    </row>
    <row r="302" spans="1:14" x14ac:dyDescent="0.35">
      <c r="A302" t="s">
        <v>377</v>
      </c>
      <c r="B302" t="s">
        <v>21</v>
      </c>
      <c r="C302" t="s">
        <v>223</v>
      </c>
      <c r="D302" t="s">
        <v>25</v>
      </c>
      <c r="E302" t="s">
        <v>83</v>
      </c>
      <c r="F302" t="s">
        <v>19</v>
      </c>
      <c r="G302">
        <v>2019</v>
      </c>
      <c r="H302">
        <v>10477</v>
      </c>
      <c r="I302">
        <v>3978</v>
      </c>
      <c r="J302">
        <v>6499</v>
      </c>
      <c r="K302">
        <v>2597</v>
      </c>
      <c r="L302">
        <v>25</v>
      </c>
      <c r="M302">
        <v>7880</v>
      </c>
      <c r="N302">
        <v>75</v>
      </c>
    </row>
    <row r="303" spans="1:14" x14ac:dyDescent="0.35">
      <c r="A303" t="s">
        <v>378</v>
      </c>
      <c r="B303" t="s">
        <v>15</v>
      </c>
      <c r="C303" t="s">
        <v>34</v>
      </c>
      <c r="D303" t="s">
        <v>17</v>
      </c>
      <c r="E303" t="s">
        <v>18</v>
      </c>
      <c r="F303" t="s">
        <v>19</v>
      </c>
      <c r="G303">
        <v>2006</v>
      </c>
      <c r="H303">
        <v>10449</v>
      </c>
      <c r="I303">
        <v>7063</v>
      </c>
      <c r="J303">
        <v>3395</v>
      </c>
      <c r="K303">
        <v>6338</v>
      </c>
      <c r="L303">
        <v>61</v>
      </c>
      <c r="M303">
        <v>4111</v>
      </c>
      <c r="N303">
        <v>39</v>
      </c>
    </row>
    <row r="304" spans="1:14" x14ac:dyDescent="0.35">
      <c r="A304" t="s">
        <v>379</v>
      </c>
      <c r="B304" t="s">
        <v>15</v>
      </c>
      <c r="C304" t="s">
        <v>22</v>
      </c>
      <c r="D304" t="s">
        <v>17</v>
      </c>
      <c r="E304" t="s">
        <v>28</v>
      </c>
      <c r="F304" t="s">
        <v>19</v>
      </c>
      <c r="G304">
        <v>2015</v>
      </c>
      <c r="H304">
        <v>10369</v>
      </c>
      <c r="I304">
        <v>9179</v>
      </c>
      <c r="J304">
        <v>1201</v>
      </c>
      <c r="K304">
        <v>8971</v>
      </c>
      <c r="L304">
        <v>87</v>
      </c>
      <c r="M304">
        <v>1398</v>
      </c>
      <c r="N304">
        <v>13</v>
      </c>
    </row>
    <row r="305" spans="1:14" x14ac:dyDescent="0.35">
      <c r="A305" t="s">
        <v>380</v>
      </c>
      <c r="B305" t="s">
        <v>15</v>
      </c>
      <c r="C305" t="s">
        <v>22</v>
      </c>
      <c r="D305" t="s">
        <v>25</v>
      </c>
      <c r="E305" t="s">
        <v>26</v>
      </c>
      <c r="F305" t="s">
        <v>19</v>
      </c>
      <c r="G305">
        <v>2004</v>
      </c>
      <c r="H305">
        <v>10353</v>
      </c>
      <c r="I305">
        <v>1938</v>
      </c>
      <c r="J305">
        <v>8415</v>
      </c>
      <c r="K305">
        <v>410</v>
      </c>
      <c r="L305">
        <v>4</v>
      </c>
      <c r="M305">
        <v>9943</v>
      </c>
      <c r="N305">
        <v>96</v>
      </c>
    </row>
    <row r="306" spans="1:14" x14ac:dyDescent="0.35">
      <c r="A306" t="s">
        <v>381</v>
      </c>
      <c r="B306" t="s">
        <v>15</v>
      </c>
      <c r="C306" t="s">
        <v>382</v>
      </c>
      <c r="D306" t="s">
        <v>17</v>
      </c>
      <c r="E306" t="s">
        <v>23</v>
      </c>
      <c r="F306" t="s">
        <v>19</v>
      </c>
      <c r="G306">
        <v>2006</v>
      </c>
      <c r="H306">
        <v>10333</v>
      </c>
      <c r="I306">
        <v>7323</v>
      </c>
      <c r="J306">
        <v>3010</v>
      </c>
      <c r="K306">
        <v>6154</v>
      </c>
      <c r="L306">
        <v>60</v>
      </c>
      <c r="M306">
        <v>4179</v>
      </c>
      <c r="N306">
        <v>40</v>
      </c>
    </row>
    <row r="307" spans="1:14" x14ac:dyDescent="0.35">
      <c r="A307" t="s">
        <v>383</v>
      </c>
      <c r="B307" t="s">
        <v>15</v>
      </c>
      <c r="C307" t="s">
        <v>22</v>
      </c>
      <c r="D307" t="s">
        <v>17</v>
      </c>
      <c r="E307" t="s">
        <v>23</v>
      </c>
      <c r="F307" t="s">
        <v>19</v>
      </c>
      <c r="G307">
        <v>2017</v>
      </c>
      <c r="H307">
        <v>10314</v>
      </c>
      <c r="I307">
        <v>10145</v>
      </c>
      <c r="J307">
        <v>172</v>
      </c>
      <c r="K307">
        <v>10142</v>
      </c>
      <c r="L307">
        <v>98</v>
      </c>
      <c r="M307">
        <v>172</v>
      </c>
      <c r="N307">
        <v>2</v>
      </c>
    </row>
    <row r="308" spans="1:14" x14ac:dyDescent="0.35">
      <c r="A308" t="s">
        <v>384</v>
      </c>
      <c r="B308" t="s">
        <v>15</v>
      </c>
      <c r="C308" t="s">
        <v>22</v>
      </c>
      <c r="D308" t="s">
        <v>17</v>
      </c>
      <c r="E308" t="s">
        <v>18</v>
      </c>
      <c r="F308" t="s">
        <v>19</v>
      </c>
      <c r="G308">
        <v>1999</v>
      </c>
      <c r="H308">
        <v>10293</v>
      </c>
      <c r="I308">
        <v>6016</v>
      </c>
      <c r="J308">
        <v>4284</v>
      </c>
      <c r="K308">
        <v>746</v>
      </c>
      <c r="L308">
        <v>7</v>
      </c>
      <c r="M308">
        <v>9547</v>
      </c>
      <c r="N308">
        <v>93</v>
      </c>
    </row>
    <row r="309" spans="1:14" x14ac:dyDescent="0.35">
      <c r="A309" t="s">
        <v>385</v>
      </c>
      <c r="B309" t="s">
        <v>15</v>
      </c>
      <c r="C309" t="s">
        <v>349</v>
      </c>
      <c r="D309" t="s">
        <v>17</v>
      </c>
      <c r="E309" t="s">
        <v>350</v>
      </c>
      <c r="F309" t="s">
        <v>19</v>
      </c>
      <c r="G309">
        <v>2012</v>
      </c>
      <c r="H309">
        <v>10291</v>
      </c>
      <c r="I309">
        <v>2289</v>
      </c>
      <c r="J309">
        <v>8004</v>
      </c>
      <c r="K309">
        <v>4396</v>
      </c>
      <c r="L309">
        <v>43</v>
      </c>
      <c r="M309">
        <v>5895</v>
      </c>
      <c r="N309">
        <v>57</v>
      </c>
    </row>
    <row r="310" spans="1:14" x14ac:dyDescent="0.35">
      <c r="A310" t="s">
        <v>386</v>
      </c>
      <c r="B310" t="s">
        <v>15</v>
      </c>
      <c r="C310" t="s">
        <v>387</v>
      </c>
      <c r="D310" t="s">
        <v>25</v>
      </c>
      <c r="E310" t="s">
        <v>83</v>
      </c>
      <c r="F310" t="s">
        <v>19</v>
      </c>
      <c r="G310">
        <v>2009</v>
      </c>
      <c r="H310">
        <v>10234</v>
      </c>
      <c r="I310">
        <v>8102</v>
      </c>
      <c r="J310">
        <v>2138</v>
      </c>
      <c r="K310">
        <v>6955</v>
      </c>
      <c r="L310">
        <v>68</v>
      </c>
      <c r="M310">
        <v>3279</v>
      </c>
      <c r="N310">
        <v>32</v>
      </c>
    </row>
    <row r="311" spans="1:14" x14ac:dyDescent="0.35">
      <c r="A311" t="s">
        <v>388</v>
      </c>
      <c r="B311" t="s">
        <v>15</v>
      </c>
      <c r="C311" t="s">
        <v>22</v>
      </c>
      <c r="D311" t="s">
        <v>17</v>
      </c>
      <c r="E311" t="s">
        <v>18</v>
      </c>
      <c r="F311" t="s">
        <v>19</v>
      </c>
      <c r="G311">
        <v>2003</v>
      </c>
      <c r="H311">
        <v>10231</v>
      </c>
      <c r="I311">
        <v>7551</v>
      </c>
      <c r="J311">
        <v>2685</v>
      </c>
      <c r="K311">
        <v>2118</v>
      </c>
      <c r="L311">
        <v>21</v>
      </c>
      <c r="M311">
        <v>8113</v>
      </c>
      <c r="N311">
        <v>79</v>
      </c>
    </row>
    <row r="312" spans="1:14" x14ac:dyDescent="0.35">
      <c r="A312" t="s">
        <v>389</v>
      </c>
      <c r="B312" t="s">
        <v>15</v>
      </c>
      <c r="C312" t="s">
        <v>22</v>
      </c>
      <c r="D312" t="s">
        <v>17</v>
      </c>
      <c r="E312" t="s">
        <v>52</v>
      </c>
      <c r="F312" t="s">
        <v>49</v>
      </c>
      <c r="G312">
        <v>2002</v>
      </c>
      <c r="H312">
        <v>10180</v>
      </c>
      <c r="I312">
        <v>10186</v>
      </c>
      <c r="J312">
        <v>0</v>
      </c>
      <c r="K312">
        <v>10133</v>
      </c>
      <c r="L312">
        <v>100</v>
      </c>
      <c r="M312">
        <v>47</v>
      </c>
      <c r="N312">
        <v>0</v>
      </c>
    </row>
    <row r="313" spans="1:14" x14ac:dyDescent="0.35">
      <c r="A313" t="s">
        <v>390</v>
      </c>
      <c r="B313" t="s">
        <v>21</v>
      </c>
      <c r="C313" t="s">
        <v>16</v>
      </c>
      <c r="D313" t="s">
        <v>17</v>
      </c>
      <c r="E313" t="s">
        <v>23</v>
      </c>
      <c r="F313" t="s">
        <v>19</v>
      </c>
      <c r="G313">
        <v>2015</v>
      </c>
      <c r="H313">
        <v>10179</v>
      </c>
      <c r="I313">
        <v>6431</v>
      </c>
      <c r="J313">
        <v>3750</v>
      </c>
      <c r="K313">
        <v>5420</v>
      </c>
      <c r="L313">
        <v>53</v>
      </c>
      <c r="M313">
        <v>4759</v>
      </c>
      <c r="N313">
        <v>47</v>
      </c>
    </row>
    <row r="314" spans="1:14" x14ac:dyDescent="0.35">
      <c r="A314" t="s">
        <v>391</v>
      </c>
      <c r="B314" t="s">
        <v>15</v>
      </c>
      <c r="C314" t="s">
        <v>72</v>
      </c>
      <c r="D314" t="s">
        <v>73</v>
      </c>
      <c r="E314" t="s">
        <v>74</v>
      </c>
      <c r="F314" t="s">
        <v>49</v>
      </c>
      <c r="G314">
        <v>1999</v>
      </c>
      <c r="H314">
        <v>10165</v>
      </c>
      <c r="I314">
        <v>8859</v>
      </c>
      <c r="J314">
        <v>1313</v>
      </c>
      <c r="K314">
        <v>7</v>
      </c>
      <c r="L314">
        <v>0</v>
      </c>
      <c r="M314">
        <v>10158</v>
      </c>
      <c r="N314">
        <v>100</v>
      </c>
    </row>
    <row r="315" spans="1:14" x14ac:dyDescent="0.35">
      <c r="A315" t="s">
        <v>392</v>
      </c>
      <c r="B315" t="s">
        <v>15</v>
      </c>
      <c r="C315" t="s">
        <v>223</v>
      </c>
      <c r="D315" t="s">
        <v>25</v>
      </c>
      <c r="E315" t="s">
        <v>18</v>
      </c>
      <c r="F315" t="s">
        <v>19</v>
      </c>
      <c r="G315">
        <v>2017</v>
      </c>
      <c r="H315">
        <v>10160</v>
      </c>
      <c r="I315">
        <v>8082</v>
      </c>
      <c r="J315">
        <v>2082</v>
      </c>
      <c r="K315">
        <v>6415</v>
      </c>
      <c r="L315">
        <v>63</v>
      </c>
      <c r="M315">
        <v>3745</v>
      </c>
      <c r="N315">
        <v>37</v>
      </c>
    </row>
    <row r="316" spans="1:14" x14ac:dyDescent="0.35">
      <c r="A316" t="s">
        <v>393</v>
      </c>
      <c r="B316" t="s">
        <v>15</v>
      </c>
      <c r="C316" t="s">
        <v>90</v>
      </c>
      <c r="D316" t="s">
        <v>25</v>
      </c>
      <c r="E316" t="s">
        <v>91</v>
      </c>
      <c r="F316" t="s">
        <v>49</v>
      </c>
      <c r="G316">
        <v>1997</v>
      </c>
      <c r="H316">
        <v>10148</v>
      </c>
      <c r="I316">
        <v>10066</v>
      </c>
      <c r="J316">
        <v>89</v>
      </c>
      <c r="K316">
        <v>9957</v>
      </c>
      <c r="L316">
        <v>98</v>
      </c>
      <c r="M316">
        <v>191</v>
      </c>
      <c r="N316">
        <v>2</v>
      </c>
    </row>
    <row r="317" spans="1:14" x14ac:dyDescent="0.35">
      <c r="A317" t="s">
        <v>394</v>
      </c>
      <c r="B317" t="s">
        <v>15</v>
      </c>
      <c r="C317" t="s">
        <v>22</v>
      </c>
      <c r="D317" t="s">
        <v>17</v>
      </c>
      <c r="E317" t="s">
        <v>18</v>
      </c>
      <c r="F317" t="s">
        <v>19</v>
      </c>
      <c r="G317">
        <v>2015</v>
      </c>
      <c r="H317">
        <v>10142</v>
      </c>
      <c r="I317">
        <v>9084</v>
      </c>
      <c r="J317">
        <v>1068</v>
      </c>
      <c r="K317">
        <v>7696</v>
      </c>
      <c r="L317">
        <v>76</v>
      </c>
      <c r="M317">
        <v>2445</v>
      </c>
      <c r="N317">
        <v>24</v>
      </c>
    </row>
    <row r="318" spans="1:14" x14ac:dyDescent="0.35">
      <c r="A318" t="s">
        <v>395</v>
      </c>
      <c r="B318" t="s">
        <v>15</v>
      </c>
      <c r="C318" t="s">
        <v>167</v>
      </c>
      <c r="D318" t="s">
        <v>168</v>
      </c>
      <c r="E318" t="s">
        <v>169</v>
      </c>
      <c r="F318" t="s">
        <v>49</v>
      </c>
      <c r="G318">
        <v>2010</v>
      </c>
      <c r="H318">
        <v>10122</v>
      </c>
      <c r="I318">
        <v>8139</v>
      </c>
      <c r="J318">
        <v>1988</v>
      </c>
      <c r="K318">
        <v>5614</v>
      </c>
      <c r="L318">
        <v>55</v>
      </c>
      <c r="M318">
        <v>4508</v>
      </c>
      <c r="N318">
        <v>45</v>
      </c>
    </row>
    <row r="319" spans="1:14" x14ac:dyDescent="0.35">
      <c r="A319" t="s">
        <v>396</v>
      </c>
      <c r="B319" t="s">
        <v>15</v>
      </c>
      <c r="C319" t="s">
        <v>167</v>
      </c>
      <c r="D319" t="s">
        <v>168</v>
      </c>
      <c r="E319" t="s">
        <v>61</v>
      </c>
      <c r="F319" t="s">
        <v>19</v>
      </c>
      <c r="G319">
        <v>2004</v>
      </c>
      <c r="H319">
        <v>10116</v>
      </c>
      <c r="I319">
        <v>9352</v>
      </c>
      <c r="J319">
        <v>766</v>
      </c>
      <c r="K319">
        <v>270</v>
      </c>
      <c r="L319">
        <v>3</v>
      </c>
      <c r="M319">
        <v>9846</v>
      </c>
      <c r="N319">
        <v>97</v>
      </c>
    </row>
    <row r="320" spans="1:14" x14ac:dyDescent="0.35">
      <c r="A320" t="s">
        <v>397</v>
      </c>
      <c r="B320" t="s">
        <v>15</v>
      </c>
      <c r="C320" t="s">
        <v>34</v>
      </c>
      <c r="D320" t="s">
        <v>17</v>
      </c>
      <c r="E320" t="s">
        <v>52</v>
      </c>
      <c r="F320" t="s">
        <v>49</v>
      </c>
      <c r="G320">
        <v>2006</v>
      </c>
      <c r="H320">
        <v>10108</v>
      </c>
      <c r="I320">
        <v>8334</v>
      </c>
      <c r="J320">
        <v>1782</v>
      </c>
      <c r="K320">
        <v>8006</v>
      </c>
      <c r="L320">
        <v>79</v>
      </c>
      <c r="M320">
        <v>2102</v>
      </c>
      <c r="N320">
        <v>21</v>
      </c>
    </row>
    <row r="321" spans="1:14" x14ac:dyDescent="0.35">
      <c r="A321" t="s">
        <v>398</v>
      </c>
      <c r="B321" t="s">
        <v>15</v>
      </c>
      <c r="C321" t="s">
        <v>34</v>
      </c>
      <c r="D321" t="s">
        <v>17</v>
      </c>
      <c r="E321" t="s">
        <v>18</v>
      </c>
      <c r="F321" t="s">
        <v>19</v>
      </c>
      <c r="G321">
        <v>2014</v>
      </c>
      <c r="H321">
        <v>10096</v>
      </c>
      <c r="I321">
        <v>6587</v>
      </c>
      <c r="J321">
        <v>3508</v>
      </c>
      <c r="K321">
        <v>5051</v>
      </c>
      <c r="L321">
        <v>50</v>
      </c>
      <c r="M321">
        <v>5045</v>
      </c>
      <c r="N321">
        <v>50</v>
      </c>
    </row>
    <row r="322" spans="1:14" x14ac:dyDescent="0.35">
      <c r="A322" t="s">
        <v>399</v>
      </c>
      <c r="B322" t="s">
        <v>79</v>
      </c>
      <c r="C322" t="s">
        <v>22</v>
      </c>
      <c r="D322" t="s">
        <v>17</v>
      </c>
      <c r="E322" t="s">
        <v>140</v>
      </c>
      <c r="F322" t="s">
        <v>49</v>
      </c>
      <c r="G322">
        <v>2009</v>
      </c>
      <c r="H322">
        <v>10048</v>
      </c>
      <c r="I322">
        <v>3456</v>
      </c>
      <c r="J322">
        <v>6592</v>
      </c>
      <c r="K322">
        <v>257</v>
      </c>
      <c r="L322">
        <v>3</v>
      </c>
      <c r="M322">
        <v>9791</v>
      </c>
      <c r="N322">
        <v>97</v>
      </c>
    </row>
    <row r="323" spans="1:14" x14ac:dyDescent="0.35">
      <c r="A323" t="s">
        <v>400</v>
      </c>
      <c r="B323" t="s">
        <v>15</v>
      </c>
      <c r="C323" t="s">
        <v>16</v>
      </c>
      <c r="D323" t="s">
        <v>17</v>
      </c>
      <c r="E323" t="s">
        <v>52</v>
      </c>
      <c r="F323" t="s">
        <v>19</v>
      </c>
      <c r="G323">
        <v>2012</v>
      </c>
      <c r="H323">
        <v>9970</v>
      </c>
      <c r="I323">
        <v>9814</v>
      </c>
      <c r="J323">
        <v>162</v>
      </c>
      <c r="K323">
        <v>9796</v>
      </c>
      <c r="L323">
        <v>98</v>
      </c>
      <c r="M323">
        <v>174</v>
      </c>
      <c r="N323">
        <v>2</v>
      </c>
    </row>
    <row r="324" spans="1:14" x14ac:dyDescent="0.35">
      <c r="A324" t="s">
        <v>401</v>
      </c>
      <c r="B324" t="s">
        <v>15</v>
      </c>
      <c r="C324" t="s">
        <v>22</v>
      </c>
      <c r="D324" t="s">
        <v>17</v>
      </c>
      <c r="E324" t="s">
        <v>23</v>
      </c>
      <c r="F324" t="s">
        <v>19</v>
      </c>
      <c r="G324">
        <v>2021</v>
      </c>
      <c r="H324">
        <v>9950</v>
      </c>
      <c r="I324">
        <v>9956</v>
      </c>
      <c r="J324">
        <v>0</v>
      </c>
      <c r="K324">
        <v>9912</v>
      </c>
      <c r="L324">
        <v>100</v>
      </c>
      <c r="M324">
        <v>38</v>
      </c>
      <c r="N324">
        <v>0</v>
      </c>
    </row>
    <row r="325" spans="1:14" x14ac:dyDescent="0.35">
      <c r="A325" t="s">
        <v>402</v>
      </c>
      <c r="B325" t="s">
        <v>15</v>
      </c>
      <c r="C325" t="s">
        <v>22</v>
      </c>
      <c r="D325" t="s">
        <v>25</v>
      </c>
      <c r="E325" t="s">
        <v>26</v>
      </c>
      <c r="F325" t="s">
        <v>19</v>
      </c>
      <c r="G325">
        <v>2014</v>
      </c>
      <c r="H325">
        <v>9949</v>
      </c>
      <c r="I325">
        <v>4105</v>
      </c>
      <c r="J325">
        <v>5843</v>
      </c>
      <c r="K325">
        <v>472</v>
      </c>
      <c r="L325">
        <v>5</v>
      </c>
      <c r="M325">
        <v>9477</v>
      </c>
      <c r="N325">
        <v>95</v>
      </c>
    </row>
    <row r="326" spans="1:14" x14ac:dyDescent="0.35">
      <c r="A326" t="s">
        <v>403</v>
      </c>
      <c r="B326" t="s">
        <v>15</v>
      </c>
      <c r="C326" t="s">
        <v>16</v>
      </c>
      <c r="D326" t="s">
        <v>17</v>
      </c>
      <c r="E326" t="s">
        <v>52</v>
      </c>
      <c r="F326" t="s">
        <v>49</v>
      </c>
      <c r="G326">
        <v>1996</v>
      </c>
      <c r="H326">
        <v>9933</v>
      </c>
      <c r="I326">
        <v>9933</v>
      </c>
      <c r="J326">
        <v>6</v>
      </c>
      <c r="K326">
        <v>9865</v>
      </c>
      <c r="L326">
        <v>99</v>
      </c>
      <c r="M326">
        <v>69</v>
      </c>
      <c r="N326">
        <v>1</v>
      </c>
    </row>
    <row r="327" spans="1:14" x14ac:dyDescent="0.35">
      <c r="A327" t="s">
        <v>404</v>
      </c>
      <c r="B327" t="s">
        <v>15</v>
      </c>
      <c r="C327" t="s">
        <v>22</v>
      </c>
      <c r="D327" t="s">
        <v>25</v>
      </c>
      <c r="E327" t="s">
        <v>83</v>
      </c>
      <c r="F327" t="s">
        <v>19</v>
      </c>
      <c r="G327">
        <v>1988</v>
      </c>
      <c r="H327">
        <v>9914</v>
      </c>
      <c r="I327">
        <v>6239</v>
      </c>
      <c r="J327">
        <v>3690</v>
      </c>
      <c r="K327">
        <v>5931</v>
      </c>
      <c r="L327">
        <v>60</v>
      </c>
      <c r="M327">
        <v>3983</v>
      </c>
      <c r="N327">
        <v>40</v>
      </c>
    </row>
    <row r="328" spans="1:14" x14ac:dyDescent="0.35">
      <c r="A328" t="s">
        <v>405</v>
      </c>
      <c r="B328" t="s">
        <v>79</v>
      </c>
      <c r="C328" t="s">
        <v>90</v>
      </c>
      <c r="D328" t="s">
        <v>25</v>
      </c>
      <c r="E328" t="s">
        <v>52</v>
      </c>
      <c r="F328" t="s">
        <v>49</v>
      </c>
      <c r="G328">
        <v>1987</v>
      </c>
      <c r="H328">
        <v>9914</v>
      </c>
      <c r="I328">
        <v>9921</v>
      </c>
      <c r="J328">
        <v>6</v>
      </c>
      <c r="K328">
        <v>7818</v>
      </c>
      <c r="L328">
        <v>79</v>
      </c>
      <c r="M328">
        <v>2097</v>
      </c>
      <c r="N328">
        <v>21</v>
      </c>
    </row>
    <row r="329" spans="1:14" x14ac:dyDescent="0.35">
      <c r="A329" t="s">
        <v>406</v>
      </c>
      <c r="B329" t="s">
        <v>15</v>
      </c>
      <c r="C329" t="s">
        <v>34</v>
      </c>
      <c r="D329" t="s">
        <v>17</v>
      </c>
      <c r="E329" t="s">
        <v>52</v>
      </c>
      <c r="F329" t="s">
        <v>49</v>
      </c>
      <c r="G329">
        <v>1969</v>
      </c>
      <c r="H329">
        <v>9910</v>
      </c>
      <c r="I329">
        <v>9913</v>
      </c>
      <c r="J329">
        <v>0</v>
      </c>
      <c r="K329">
        <v>9910</v>
      </c>
      <c r="L329">
        <v>100</v>
      </c>
      <c r="M329">
        <v>0</v>
      </c>
      <c r="N329">
        <v>0</v>
      </c>
    </row>
    <row r="330" spans="1:14" x14ac:dyDescent="0.35">
      <c r="A330" t="s">
        <v>407</v>
      </c>
      <c r="B330" t="s">
        <v>79</v>
      </c>
      <c r="C330" t="s">
        <v>408</v>
      </c>
      <c r="D330" t="s">
        <v>409</v>
      </c>
      <c r="E330" t="s">
        <v>52</v>
      </c>
      <c r="F330" t="s">
        <v>49</v>
      </c>
      <c r="G330">
        <v>2017</v>
      </c>
      <c r="H330">
        <v>9899</v>
      </c>
      <c r="I330">
        <v>9883</v>
      </c>
      <c r="J330">
        <v>20</v>
      </c>
      <c r="K330">
        <v>9352</v>
      </c>
      <c r="L330">
        <v>94</v>
      </c>
      <c r="M330">
        <v>548</v>
      </c>
      <c r="N330">
        <v>6</v>
      </c>
    </row>
    <row r="331" spans="1:14" x14ac:dyDescent="0.35">
      <c r="A331" t="s">
        <v>410</v>
      </c>
      <c r="B331" t="s">
        <v>15</v>
      </c>
      <c r="C331" t="s">
        <v>22</v>
      </c>
      <c r="D331" t="s">
        <v>17</v>
      </c>
      <c r="E331" t="s">
        <v>99</v>
      </c>
      <c r="F331" t="s">
        <v>49</v>
      </c>
      <c r="G331">
        <v>2010</v>
      </c>
      <c r="H331">
        <v>9869</v>
      </c>
      <c r="I331">
        <v>6437</v>
      </c>
      <c r="J331">
        <v>3432</v>
      </c>
      <c r="K331">
        <v>4559</v>
      </c>
      <c r="L331">
        <v>46</v>
      </c>
      <c r="M331">
        <v>5311</v>
      </c>
      <c r="N331">
        <v>54</v>
      </c>
    </row>
    <row r="332" spans="1:14" x14ac:dyDescent="0.35">
      <c r="A332" t="s">
        <v>411</v>
      </c>
      <c r="B332" t="s">
        <v>15</v>
      </c>
      <c r="C332" t="s">
        <v>22</v>
      </c>
      <c r="D332" t="s">
        <v>25</v>
      </c>
      <c r="E332" t="s">
        <v>83</v>
      </c>
      <c r="F332" t="s">
        <v>19</v>
      </c>
      <c r="G332">
        <v>1998</v>
      </c>
      <c r="H332">
        <v>9863</v>
      </c>
      <c r="I332">
        <v>4890</v>
      </c>
      <c r="J332">
        <v>4976</v>
      </c>
      <c r="K332">
        <v>1539</v>
      </c>
      <c r="L332">
        <v>16</v>
      </c>
      <c r="M332">
        <v>8324</v>
      </c>
      <c r="N332">
        <v>84</v>
      </c>
    </row>
    <row r="333" spans="1:14" x14ac:dyDescent="0.35">
      <c r="A333" t="s">
        <v>412</v>
      </c>
      <c r="B333" t="s">
        <v>21</v>
      </c>
      <c r="C333" t="s">
        <v>34</v>
      </c>
      <c r="D333" t="s">
        <v>17</v>
      </c>
      <c r="E333" t="s">
        <v>23</v>
      </c>
      <c r="F333" t="s">
        <v>19</v>
      </c>
      <c r="G333">
        <v>2014</v>
      </c>
      <c r="H333">
        <v>9860</v>
      </c>
      <c r="I333">
        <v>4832</v>
      </c>
      <c r="J333">
        <v>5033</v>
      </c>
      <c r="K333">
        <v>2441</v>
      </c>
      <c r="L333">
        <v>25</v>
      </c>
      <c r="M333">
        <v>7418</v>
      </c>
      <c r="N333">
        <v>75</v>
      </c>
    </row>
    <row r="334" spans="1:14" x14ac:dyDescent="0.35">
      <c r="A334" t="s">
        <v>413</v>
      </c>
      <c r="B334" t="s">
        <v>15</v>
      </c>
      <c r="C334" t="s">
        <v>90</v>
      </c>
      <c r="D334" t="s">
        <v>25</v>
      </c>
      <c r="E334" t="s">
        <v>83</v>
      </c>
      <c r="F334" t="s">
        <v>19</v>
      </c>
      <c r="G334">
        <v>2023</v>
      </c>
      <c r="H334">
        <v>9854</v>
      </c>
      <c r="I334">
        <v>8668</v>
      </c>
      <c r="J334">
        <v>1197</v>
      </c>
      <c r="K334">
        <v>2611</v>
      </c>
      <c r="L334">
        <v>26</v>
      </c>
      <c r="M334">
        <v>7243</v>
      </c>
      <c r="N334">
        <v>74</v>
      </c>
    </row>
    <row r="335" spans="1:14" x14ac:dyDescent="0.35">
      <c r="A335" t="s">
        <v>414</v>
      </c>
      <c r="B335" t="s">
        <v>21</v>
      </c>
      <c r="C335" t="s">
        <v>22</v>
      </c>
      <c r="D335" t="s">
        <v>17</v>
      </c>
      <c r="E335" t="s">
        <v>23</v>
      </c>
      <c r="F335" t="s">
        <v>19</v>
      </c>
      <c r="G335">
        <v>2019</v>
      </c>
      <c r="H335">
        <v>9798</v>
      </c>
      <c r="I335">
        <v>9280</v>
      </c>
      <c r="J335">
        <v>543</v>
      </c>
      <c r="K335">
        <v>8953</v>
      </c>
      <c r="L335">
        <v>91</v>
      </c>
      <c r="M335">
        <v>845</v>
      </c>
      <c r="N335">
        <v>9</v>
      </c>
    </row>
    <row r="336" spans="1:14" x14ac:dyDescent="0.35">
      <c r="A336" t="s">
        <v>415</v>
      </c>
      <c r="B336" t="s">
        <v>15</v>
      </c>
      <c r="C336" t="s">
        <v>22</v>
      </c>
      <c r="D336" t="s">
        <v>17</v>
      </c>
      <c r="E336" t="s">
        <v>18</v>
      </c>
      <c r="F336" t="s">
        <v>19</v>
      </c>
      <c r="G336">
        <v>1997</v>
      </c>
      <c r="H336">
        <v>9734</v>
      </c>
      <c r="I336">
        <v>4314</v>
      </c>
      <c r="J336">
        <v>5425</v>
      </c>
      <c r="K336">
        <v>31</v>
      </c>
      <c r="L336">
        <v>0</v>
      </c>
      <c r="M336">
        <v>9703</v>
      </c>
      <c r="N336">
        <v>100</v>
      </c>
    </row>
    <row r="337" spans="1:14" x14ac:dyDescent="0.35">
      <c r="A337" t="s">
        <v>416</v>
      </c>
      <c r="B337" t="s">
        <v>15</v>
      </c>
      <c r="C337" t="s">
        <v>22</v>
      </c>
      <c r="D337" t="s">
        <v>17</v>
      </c>
      <c r="E337" t="s">
        <v>28</v>
      </c>
      <c r="F337" t="s">
        <v>19</v>
      </c>
      <c r="G337">
        <v>2009</v>
      </c>
      <c r="H337">
        <v>9713</v>
      </c>
      <c r="I337">
        <v>5587</v>
      </c>
      <c r="J337">
        <v>4126</v>
      </c>
      <c r="K337">
        <v>2335</v>
      </c>
      <c r="L337">
        <v>24</v>
      </c>
      <c r="M337">
        <v>7378</v>
      </c>
      <c r="N337">
        <v>76</v>
      </c>
    </row>
    <row r="338" spans="1:14" x14ac:dyDescent="0.35">
      <c r="A338" t="s">
        <v>417</v>
      </c>
      <c r="B338" t="s">
        <v>15</v>
      </c>
      <c r="C338" t="s">
        <v>22</v>
      </c>
      <c r="D338" t="s">
        <v>17</v>
      </c>
      <c r="E338" t="s">
        <v>273</v>
      </c>
      <c r="F338" t="s">
        <v>49</v>
      </c>
      <c r="G338">
        <v>2012</v>
      </c>
      <c r="H338">
        <v>9666</v>
      </c>
      <c r="I338">
        <v>9208</v>
      </c>
      <c r="J338">
        <v>461</v>
      </c>
      <c r="K338">
        <v>9168</v>
      </c>
      <c r="L338">
        <v>95</v>
      </c>
      <c r="M338">
        <v>498</v>
      </c>
      <c r="N338">
        <v>5</v>
      </c>
    </row>
    <row r="339" spans="1:14" x14ac:dyDescent="0.35">
      <c r="A339" t="s">
        <v>418</v>
      </c>
      <c r="B339" t="s">
        <v>15</v>
      </c>
      <c r="C339" t="s">
        <v>90</v>
      </c>
      <c r="D339" t="s">
        <v>25</v>
      </c>
      <c r="E339" t="s">
        <v>83</v>
      </c>
      <c r="F339" t="s">
        <v>19</v>
      </c>
      <c r="G339">
        <v>2020</v>
      </c>
      <c r="H339">
        <v>9609</v>
      </c>
      <c r="I339">
        <v>5574</v>
      </c>
      <c r="J339">
        <v>4061</v>
      </c>
      <c r="K339">
        <v>437</v>
      </c>
      <c r="L339">
        <v>5</v>
      </c>
      <c r="M339">
        <v>9172</v>
      </c>
      <c r="N339">
        <v>95</v>
      </c>
    </row>
    <row r="340" spans="1:14" x14ac:dyDescent="0.35">
      <c r="A340" t="s">
        <v>419</v>
      </c>
      <c r="B340" t="s">
        <v>15</v>
      </c>
      <c r="C340" t="s">
        <v>22</v>
      </c>
      <c r="D340" t="s">
        <v>17</v>
      </c>
      <c r="E340" t="s">
        <v>28</v>
      </c>
      <c r="F340" t="s">
        <v>19</v>
      </c>
      <c r="G340">
        <v>2014</v>
      </c>
      <c r="H340">
        <v>9514</v>
      </c>
      <c r="I340">
        <v>9454</v>
      </c>
      <c r="J340">
        <v>63</v>
      </c>
      <c r="K340">
        <v>1289</v>
      </c>
      <c r="L340">
        <v>14</v>
      </c>
      <c r="M340">
        <v>8224</v>
      </c>
      <c r="N340">
        <v>86</v>
      </c>
    </row>
    <row r="341" spans="1:14" x14ac:dyDescent="0.35">
      <c r="A341" t="s">
        <v>420</v>
      </c>
      <c r="B341" t="s">
        <v>15</v>
      </c>
      <c r="C341" t="s">
        <v>95</v>
      </c>
      <c r="D341" t="s">
        <v>17</v>
      </c>
      <c r="E341" t="s">
        <v>28</v>
      </c>
      <c r="F341" t="s">
        <v>49</v>
      </c>
      <c r="G341">
        <v>2014</v>
      </c>
      <c r="H341">
        <v>9513</v>
      </c>
      <c r="I341">
        <v>9329</v>
      </c>
      <c r="J341">
        <v>186</v>
      </c>
      <c r="K341">
        <v>8793</v>
      </c>
      <c r="L341">
        <v>92</v>
      </c>
      <c r="M341">
        <v>720</v>
      </c>
      <c r="N341">
        <v>8</v>
      </c>
    </row>
    <row r="342" spans="1:14" x14ac:dyDescent="0.35">
      <c r="A342" t="s">
        <v>421</v>
      </c>
      <c r="B342" t="s">
        <v>15</v>
      </c>
      <c r="C342" t="s">
        <v>90</v>
      </c>
      <c r="D342" t="s">
        <v>25</v>
      </c>
      <c r="E342" t="s">
        <v>91</v>
      </c>
      <c r="F342" t="s">
        <v>49</v>
      </c>
      <c r="G342">
        <v>2007</v>
      </c>
      <c r="H342">
        <v>9503</v>
      </c>
      <c r="I342">
        <v>2468</v>
      </c>
      <c r="J342">
        <v>7046</v>
      </c>
      <c r="K342">
        <v>9278</v>
      </c>
      <c r="L342">
        <v>98</v>
      </c>
      <c r="M342">
        <v>225</v>
      </c>
      <c r="N342">
        <v>2</v>
      </c>
    </row>
    <row r="343" spans="1:14" x14ac:dyDescent="0.35">
      <c r="A343" t="s">
        <v>422</v>
      </c>
      <c r="B343" t="s">
        <v>15</v>
      </c>
      <c r="C343" t="s">
        <v>22</v>
      </c>
      <c r="D343" t="s">
        <v>25</v>
      </c>
      <c r="E343" t="s">
        <v>152</v>
      </c>
      <c r="F343" t="s">
        <v>19</v>
      </c>
      <c r="G343">
        <v>2010</v>
      </c>
      <c r="H343">
        <v>9495</v>
      </c>
      <c r="I343">
        <v>6484</v>
      </c>
      <c r="J343">
        <v>3012</v>
      </c>
      <c r="K343">
        <v>4320</v>
      </c>
      <c r="L343">
        <v>46</v>
      </c>
      <c r="M343">
        <v>5175</v>
      </c>
      <c r="N343">
        <v>54</v>
      </c>
    </row>
    <row r="344" spans="1:14" x14ac:dyDescent="0.35">
      <c r="A344" t="s">
        <v>423</v>
      </c>
      <c r="B344" t="s">
        <v>15</v>
      </c>
      <c r="C344" t="s">
        <v>34</v>
      </c>
      <c r="D344" t="s">
        <v>17</v>
      </c>
      <c r="E344" t="s">
        <v>58</v>
      </c>
      <c r="F344" t="s">
        <v>49</v>
      </c>
      <c r="G344">
        <v>2010</v>
      </c>
      <c r="H344">
        <v>9440</v>
      </c>
      <c r="I344">
        <v>4498</v>
      </c>
      <c r="J344">
        <v>4949</v>
      </c>
      <c r="K344">
        <v>5621</v>
      </c>
      <c r="L344">
        <v>60</v>
      </c>
      <c r="M344">
        <v>3818</v>
      </c>
      <c r="N344">
        <v>40</v>
      </c>
    </row>
    <row r="345" spans="1:14" x14ac:dyDescent="0.35">
      <c r="A345" t="s">
        <v>424</v>
      </c>
      <c r="B345" t="s">
        <v>15</v>
      </c>
      <c r="C345" t="s">
        <v>408</v>
      </c>
      <c r="D345" t="s">
        <v>409</v>
      </c>
      <c r="E345" t="s">
        <v>18</v>
      </c>
      <c r="F345" t="s">
        <v>19</v>
      </c>
      <c r="G345">
        <v>2011</v>
      </c>
      <c r="H345">
        <v>9437</v>
      </c>
      <c r="I345">
        <v>6110</v>
      </c>
      <c r="J345">
        <v>3332</v>
      </c>
      <c r="K345">
        <v>2399</v>
      </c>
      <c r="L345">
        <v>25</v>
      </c>
      <c r="M345">
        <v>7038</v>
      </c>
      <c r="N345">
        <v>75</v>
      </c>
    </row>
    <row r="346" spans="1:14" x14ac:dyDescent="0.35">
      <c r="A346" t="s">
        <v>425</v>
      </c>
      <c r="B346" t="s">
        <v>21</v>
      </c>
      <c r="C346" t="s">
        <v>34</v>
      </c>
      <c r="D346" t="s">
        <v>17</v>
      </c>
      <c r="E346" t="s">
        <v>52</v>
      </c>
      <c r="F346" t="s">
        <v>49</v>
      </c>
      <c r="G346">
        <v>2009</v>
      </c>
      <c r="H346">
        <v>9401</v>
      </c>
      <c r="I346">
        <v>8692</v>
      </c>
      <c r="J346">
        <v>713</v>
      </c>
      <c r="K346">
        <v>8081</v>
      </c>
      <c r="L346">
        <v>86</v>
      </c>
      <c r="M346">
        <v>1320</v>
      </c>
      <c r="N346">
        <v>14</v>
      </c>
    </row>
    <row r="347" spans="1:14" x14ac:dyDescent="0.35">
      <c r="A347" t="s">
        <v>426</v>
      </c>
      <c r="B347" t="s">
        <v>15</v>
      </c>
      <c r="C347" t="s">
        <v>22</v>
      </c>
      <c r="D347" t="s">
        <v>17</v>
      </c>
      <c r="E347" t="s">
        <v>18</v>
      </c>
      <c r="F347" t="s">
        <v>19</v>
      </c>
      <c r="G347">
        <v>2008</v>
      </c>
      <c r="H347">
        <v>9362</v>
      </c>
      <c r="I347">
        <v>4260</v>
      </c>
      <c r="J347">
        <v>5102</v>
      </c>
      <c r="K347">
        <v>1076</v>
      </c>
      <c r="L347">
        <v>11</v>
      </c>
      <c r="M347">
        <v>8287</v>
      </c>
      <c r="N347">
        <v>89</v>
      </c>
    </row>
    <row r="348" spans="1:14" x14ac:dyDescent="0.35">
      <c r="A348" t="s">
        <v>427</v>
      </c>
      <c r="B348" t="s">
        <v>15</v>
      </c>
      <c r="C348" t="s">
        <v>243</v>
      </c>
      <c r="D348" t="s">
        <v>25</v>
      </c>
      <c r="E348" t="s">
        <v>83</v>
      </c>
      <c r="F348" t="s">
        <v>19</v>
      </c>
      <c r="G348">
        <v>1989</v>
      </c>
      <c r="H348">
        <v>9340</v>
      </c>
      <c r="I348">
        <v>6692</v>
      </c>
      <c r="J348">
        <v>2658</v>
      </c>
      <c r="K348">
        <v>5230</v>
      </c>
      <c r="L348">
        <v>56</v>
      </c>
      <c r="M348">
        <v>4110</v>
      </c>
      <c r="N348">
        <v>44</v>
      </c>
    </row>
    <row r="349" spans="1:14" x14ac:dyDescent="0.35">
      <c r="A349" t="s">
        <v>428</v>
      </c>
      <c r="B349" t="s">
        <v>15</v>
      </c>
      <c r="C349" t="s">
        <v>22</v>
      </c>
      <c r="D349" t="s">
        <v>17</v>
      </c>
      <c r="E349" t="s">
        <v>18</v>
      </c>
      <c r="F349" t="s">
        <v>19</v>
      </c>
      <c r="G349">
        <v>2017</v>
      </c>
      <c r="H349">
        <v>9315</v>
      </c>
      <c r="I349">
        <v>5410</v>
      </c>
      <c r="J349">
        <v>3905</v>
      </c>
      <c r="K349">
        <v>1907</v>
      </c>
      <c r="L349">
        <v>20</v>
      </c>
      <c r="M349">
        <v>7408</v>
      </c>
      <c r="N349">
        <v>80</v>
      </c>
    </row>
    <row r="350" spans="1:14" x14ac:dyDescent="0.35">
      <c r="A350" t="s">
        <v>429</v>
      </c>
      <c r="B350" t="s">
        <v>15</v>
      </c>
      <c r="C350" t="s">
        <v>22</v>
      </c>
      <c r="D350" t="s">
        <v>17</v>
      </c>
      <c r="E350" t="s">
        <v>28</v>
      </c>
      <c r="F350" t="s">
        <v>19</v>
      </c>
      <c r="G350">
        <v>2018</v>
      </c>
      <c r="H350">
        <v>9303</v>
      </c>
      <c r="I350">
        <v>5809</v>
      </c>
      <c r="J350">
        <v>3497</v>
      </c>
      <c r="K350">
        <v>5699</v>
      </c>
      <c r="L350">
        <v>61</v>
      </c>
      <c r="M350">
        <v>3604</v>
      </c>
      <c r="N350">
        <v>39</v>
      </c>
    </row>
    <row r="351" spans="1:14" x14ac:dyDescent="0.35">
      <c r="A351" t="s">
        <v>430</v>
      </c>
      <c r="B351" t="s">
        <v>15</v>
      </c>
      <c r="C351" t="s">
        <v>22</v>
      </c>
      <c r="D351" t="s">
        <v>17</v>
      </c>
      <c r="E351" t="s">
        <v>52</v>
      </c>
      <c r="F351" t="s">
        <v>19</v>
      </c>
      <c r="G351">
        <v>1971</v>
      </c>
      <c r="H351">
        <v>9291</v>
      </c>
      <c r="I351">
        <v>9255</v>
      </c>
      <c r="J351">
        <v>40</v>
      </c>
      <c r="K351">
        <v>9207</v>
      </c>
      <c r="L351">
        <v>99</v>
      </c>
      <c r="M351">
        <v>84</v>
      </c>
      <c r="N351">
        <v>1</v>
      </c>
    </row>
    <row r="352" spans="1:14" x14ac:dyDescent="0.35">
      <c r="A352" t="s">
        <v>431</v>
      </c>
      <c r="B352" t="s">
        <v>15</v>
      </c>
      <c r="C352" t="s">
        <v>22</v>
      </c>
      <c r="D352" t="s">
        <v>17</v>
      </c>
      <c r="E352" t="s">
        <v>99</v>
      </c>
      <c r="F352" t="s">
        <v>19</v>
      </c>
      <c r="G352">
        <v>2007</v>
      </c>
      <c r="H352">
        <v>9214</v>
      </c>
      <c r="I352">
        <v>9213</v>
      </c>
      <c r="J352">
        <v>8</v>
      </c>
      <c r="K352">
        <v>7646</v>
      </c>
      <c r="L352">
        <v>83</v>
      </c>
      <c r="M352">
        <v>1567</v>
      </c>
      <c r="N352">
        <v>17</v>
      </c>
    </row>
    <row r="353" spans="1:14" x14ac:dyDescent="0.35">
      <c r="A353" t="s">
        <v>432</v>
      </c>
      <c r="B353" t="s">
        <v>15</v>
      </c>
      <c r="C353" t="s">
        <v>34</v>
      </c>
      <c r="D353" t="s">
        <v>17</v>
      </c>
      <c r="E353" t="s">
        <v>52</v>
      </c>
      <c r="F353" t="s">
        <v>49</v>
      </c>
      <c r="G353">
        <v>1999</v>
      </c>
      <c r="H353">
        <v>9212</v>
      </c>
      <c r="I353">
        <v>7753</v>
      </c>
      <c r="J353">
        <v>1461</v>
      </c>
      <c r="K353">
        <v>9165</v>
      </c>
      <c r="L353">
        <v>99</v>
      </c>
      <c r="M353">
        <v>47</v>
      </c>
      <c r="N353">
        <v>1</v>
      </c>
    </row>
    <row r="354" spans="1:14" x14ac:dyDescent="0.35">
      <c r="A354" t="s">
        <v>433</v>
      </c>
      <c r="B354" t="s">
        <v>15</v>
      </c>
      <c r="C354" t="s">
        <v>34</v>
      </c>
      <c r="D354" t="s">
        <v>17</v>
      </c>
      <c r="E354" t="s">
        <v>61</v>
      </c>
      <c r="F354" t="s">
        <v>19</v>
      </c>
      <c r="G354">
        <v>2015</v>
      </c>
      <c r="H354">
        <v>9207</v>
      </c>
      <c r="I354">
        <v>7645</v>
      </c>
      <c r="J354">
        <v>1564</v>
      </c>
      <c r="K354">
        <v>36</v>
      </c>
      <c r="L354">
        <v>0</v>
      </c>
      <c r="M354">
        <v>9170</v>
      </c>
      <c r="N354">
        <v>100</v>
      </c>
    </row>
    <row r="355" spans="1:14" x14ac:dyDescent="0.35">
      <c r="A355" t="s">
        <v>434</v>
      </c>
      <c r="B355" t="s">
        <v>15</v>
      </c>
      <c r="C355" t="s">
        <v>22</v>
      </c>
      <c r="D355" t="s">
        <v>17</v>
      </c>
      <c r="E355" t="s">
        <v>23</v>
      </c>
      <c r="F355" t="s">
        <v>19</v>
      </c>
      <c r="G355">
        <v>2019</v>
      </c>
      <c r="H355">
        <v>9178</v>
      </c>
      <c r="I355">
        <v>7949</v>
      </c>
      <c r="J355">
        <v>1237</v>
      </c>
      <c r="K355">
        <v>7238</v>
      </c>
      <c r="L355">
        <v>79</v>
      </c>
      <c r="M355">
        <v>1939</v>
      </c>
      <c r="N355">
        <v>21</v>
      </c>
    </row>
    <row r="356" spans="1:14" x14ac:dyDescent="0.35">
      <c r="A356" t="s">
        <v>435</v>
      </c>
      <c r="B356" t="s">
        <v>15</v>
      </c>
      <c r="C356" t="s">
        <v>43</v>
      </c>
      <c r="D356" t="s">
        <v>25</v>
      </c>
      <c r="E356" t="s">
        <v>83</v>
      </c>
      <c r="F356" t="s">
        <v>19</v>
      </c>
      <c r="G356">
        <v>1988</v>
      </c>
      <c r="H356">
        <v>9122</v>
      </c>
      <c r="I356">
        <v>4955</v>
      </c>
      <c r="J356">
        <v>4167</v>
      </c>
      <c r="K356">
        <v>4040</v>
      </c>
      <c r="L356">
        <v>44</v>
      </c>
      <c r="M356">
        <v>5082</v>
      </c>
      <c r="N356">
        <v>56</v>
      </c>
    </row>
    <row r="357" spans="1:14" x14ac:dyDescent="0.35">
      <c r="A357" t="s">
        <v>436</v>
      </c>
      <c r="B357" t="s">
        <v>21</v>
      </c>
      <c r="C357" t="s">
        <v>22</v>
      </c>
      <c r="D357" t="s">
        <v>17</v>
      </c>
      <c r="E357" t="s">
        <v>23</v>
      </c>
      <c r="F357" t="s">
        <v>19</v>
      </c>
      <c r="G357">
        <v>1999</v>
      </c>
      <c r="H357">
        <v>9116</v>
      </c>
      <c r="I357">
        <v>7543</v>
      </c>
      <c r="J357">
        <v>1579</v>
      </c>
      <c r="K357">
        <v>2706</v>
      </c>
      <c r="L357">
        <v>30</v>
      </c>
      <c r="M357">
        <v>6410</v>
      </c>
      <c r="N357">
        <v>70</v>
      </c>
    </row>
    <row r="358" spans="1:14" x14ac:dyDescent="0.35">
      <c r="A358" t="s">
        <v>437</v>
      </c>
      <c r="B358" t="s">
        <v>15</v>
      </c>
      <c r="C358" t="s">
        <v>90</v>
      </c>
      <c r="D358" t="s">
        <v>25</v>
      </c>
      <c r="E358" t="s">
        <v>18</v>
      </c>
      <c r="F358" t="s">
        <v>49</v>
      </c>
      <c r="G358">
        <v>2002</v>
      </c>
      <c r="H358">
        <v>9108</v>
      </c>
      <c r="I358">
        <v>8631</v>
      </c>
      <c r="J358">
        <v>487</v>
      </c>
      <c r="K358">
        <v>5817</v>
      </c>
      <c r="L358">
        <v>64</v>
      </c>
      <c r="M358">
        <v>3290</v>
      </c>
      <c r="N358">
        <v>36</v>
      </c>
    </row>
    <row r="359" spans="1:14" x14ac:dyDescent="0.35">
      <c r="A359" t="s">
        <v>438</v>
      </c>
      <c r="B359" t="s">
        <v>15</v>
      </c>
      <c r="C359" t="s">
        <v>22</v>
      </c>
      <c r="D359" t="s">
        <v>17</v>
      </c>
      <c r="E359" t="s">
        <v>18</v>
      </c>
      <c r="F359" t="s">
        <v>19</v>
      </c>
      <c r="G359">
        <v>2001</v>
      </c>
      <c r="H359">
        <v>9085</v>
      </c>
      <c r="I359">
        <v>4561</v>
      </c>
      <c r="J359">
        <v>4524</v>
      </c>
      <c r="K359">
        <v>1805</v>
      </c>
      <c r="L359">
        <v>20</v>
      </c>
      <c r="M359">
        <v>7280</v>
      </c>
      <c r="N359">
        <v>80</v>
      </c>
    </row>
    <row r="360" spans="1:14" x14ac:dyDescent="0.35">
      <c r="A360" t="s">
        <v>439</v>
      </c>
      <c r="B360" t="s">
        <v>15</v>
      </c>
      <c r="C360" t="s">
        <v>90</v>
      </c>
      <c r="D360" t="s">
        <v>25</v>
      </c>
      <c r="E360" t="s">
        <v>91</v>
      </c>
      <c r="F360" t="s">
        <v>19</v>
      </c>
      <c r="G360">
        <v>2015</v>
      </c>
      <c r="H360">
        <v>9076</v>
      </c>
      <c r="I360">
        <v>3472</v>
      </c>
      <c r="J360">
        <v>5604</v>
      </c>
      <c r="K360">
        <v>752</v>
      </c>
      <c r="L360">
        <v>8</v>
      </c>
      <c r="M360">
        <v>8324</v>
      </c>
      <c r="N360">
        <v>92</v>
      </c>
    </row>
    <row r="361" spans="1:14" x14ac:dyDescent="0.35">
      <c r="A361" t="s">
        <v>440</v>
      </c>
      <c r="B361" t="s">
        <v>15</v>
      </c>
      <c r="C361" t="s">
        <v>441</v>
      </c>
      <c r="D361" t="s">
        <v>25</v>
      </c>
      <c r="E361" t="s">
        <v>83</v>
      </c>
      <c r="F361" t="s">
        <v>19</v>
      </c>
      <c r="G361">
        <v>2008</v>
      </c>
      <c r="H361">
        <v>9056</v>
      </c>
      <c r="I361">
        <v>5112</v>
      </c>
      <c r="J361">
        <v>3944</v>
      </c>
      <c r="K361">
        <v>562</v>
      </c>
      <c r="L361">
        <v>6</v>
      </c>
      <c r="M361">
        <v>8495</v>
      </c>
      <c r="N361">
        <v>94</v>
      </c>
    </row>
    <row r="362" spans="1:14" x14ac:dyDescent="0.35">
      <c r="A362" t="s">
        <v>442</v>
      </c>
      <c r="B362" t="s">
        <v>21</v>
      </c>
      <c r="C362" t="s">
        <v>72</v>
      </c>
      <c r="D362" t="s">
        <v>73</v>
      </c>
      <c r="E362" t="s">
        <v>74</v>
      </c>
      <c r="F362" t="s">
        <v>19</v>
      </c>
      <c r="G362">
        <v>1980</v>
      </c>
      <c r="H362">
        <v>8988</v>
      </c>
      <c r="I362">
        <v>2897</v>
      </c>
      <c r="J362">
        <v>6103</v>
      </c>
      <c r="K362">
        <v>551</v>
      </c>
      <c r="L362">
        <v>6</v>
      </c>
      <c r="M362">
        <v>8437</v>
      </c>
      <c r="N362">
        <v>94</v>
      </c>
    </row>
    <row r="363" spans="1:14" x14ac:dyDescent="0.35">
      <c r="A363" t="s">
        <v>443</v>
      </c>
      <c r="B363" t="s">
        <v>15</v>
      </c>
      <c r="C363" t="s">
        <v>43</v>
      </c>
      <c r="D363" t="s">
        <v>25</v>
      </c>
      <c r="E363" t="s">
        <v>26</v>
      </c>
      <c r="F363" t="s">
        <v>19</v>
      </c>
      <c r="G363">
        <v>2018</v>
      </c>
      <c r="H363">
        <v>8965</v>
      </c>
      <c r="I363">
        <v>6388</v>
      </c>
      <c r="J363">
        <v>2587</v>
      </c>
      <c r="K363">
        <v>1238</v>
      </c>
      <c r="L363">
        <v>14</v>
      </c>
      <c r="M363">
        <v>7727</v>
      </c>
      <c r="N363">
        <v>86</v>
      </c>
    </row>
    <row r="364" spans="1:14" x14ac:dyDescent="0.35">
      <c r="A364" t="s">
        <v>444</v>
      </c>
      <c r="B364" t="s">
        <v>21</v>
      </c>
      <c r="C364" t="s">
        <v>441</v>
      </c>
      <c r="D364" t="s">
        <v>25</v>
      </c>
      <c r="E364" t="s">
        <v>26</v>
      </c>
      <c r="F364" t="s">
        <v>19</v>
      </c>
      <c r="G364">
        <v>2010</v>
      </c>
      <c r="H364">
        <v>8960</v>
      </c>
      <c r="I364">
        <v>3564</v>
      </c>
      <c r="J364">
        <v>5398</v>
      </c>
      <c r="K364">
        <v>688</v>
      </c>
      <c r="L364">
        <v>8</v>
      </c>
      <c r="M364">
        <v>8272</v>
      </c>
      <c r="N364">
        <v>92</v>
      </c>
    </row>
    <row r="365" spans="1:14" x14ac:dyDescent="0.35">
      <c r="A365" t="s">
        <v>445</v>
      </c>
      <c r="B365" t="s">
        <v>15</v>
      </c>
      <c r="C365" t="s">
        <v>22</v>
      </c>
      <c r="D365" t="s">
        <v>17</v>
      </c>
      <c r="E365" t="s">
        <v>52</v>
      </c>
      <c r="F365" t="s">
        <v>19</v>
      </c>
      <c r="G365">
        <v>1973</v>
      </c>
      <c r="H365">
        <v>8928</v>
      </c>
      <c r="I365">
        <v>8741</v>
      </c>
      <c r="J365">
        <v>190</v>
      </c>
      <c r="K365">
        <v>8713</v>
      </c>
      <c r="L365">
        <v>98</v>
      </c>
      <c r="M365">
        <v>214</v>
      </c>
      <c r="N365">
        <v>2</v>
      </c>
    </row>
    <row r="366" spans="1:14" x14ac:dyDescent="0.35">
      <c r="A366" t="s">
        <v>446</v>
      </c>
      <c r="B366" t="s">
        <v>15</v>
      </c>
      <c r="C366" t="s">
        <v>90</v>
      </c>
      <c r="D366" t="s">
        <v>25</v>
      </c>
      <c r="E366" t="s">
        <v>91</v>
      </c>
      <c r="F366" t="s">
        <v>19</v>
      </c>
      <c r="G366">
        <v>2011</v>
      </c>
      <c r="H366">
        <v>8916</v>
      </c>
      <c r="I366">
        <v>8080</v>
      </c>
      <c r="J366">
        <v>845</v>
      </c>
      <c r="K366">
        <v>7976</v>
      </c>
      <c r="L366">
        <v>89</v>
      </c>
      <c r="M366">
        <v>940</v>
      </c>
      <c r="N366">
        <v>11</v>
      </c>
    </row>
    <row r="367" spans="1:14" x14ac:dyDescent="0.35">
      <c r="A367" t="s">
        <v>447</v>
      </c>
      <c r="B367" t="s">
        <v>15</v>
      </c>
      <c r="C367" t="s">
        <v>22</v>
      </c>
      <c r="D367" t="s">
        <v>17</v>
      </c>
      <c r="E367" t="s">
        <v>23</v>
      </c>
      <c r="F367" t="s">
        <v>49</v>
      </c>
      <c r="G367">
        <v>2006</v>
      </c>
      <c r="H367">
        <v>8910</v>
      </c>
      <c r="I367">
        <v>6844</v>
      </c>
      <c r="J367">
        <v>2068</v>
      </c>
      <c r="K367">
        <v>6518</v>
      </c>
      <c r="L367">
        <v>73</v>
      </c>
      <c r="M367">
        <v>2392</v>
      </c>
      <c r="N367">
        <v>27</v>
      </c>
    </row>
    <row r="368" spans="1:14" x14ac:dyDescent="0.35">
      <c r="A368" t="s">
        <v>448</v>
      </c>
      <c r="B368" t="s">
        <v>15</v>
      </c>
      <c r="C368" t="s">
        <v>129</v>
      </c>
      <c r="D368" t="s">
        <v>130</v>
      </c>
      <c r="E368" t="s">
        <v>140</v>
      </c>
      <c r="F368" t="s">
        <v>19</v>
      </c>
      <c r="G368">
        <v>1977</v>
      </c>
      <c r="H368">
        <v>8907</v>
      </c>
      <c r="I368">
        <v>8156</v>
      </c>
      <c r="J368">
        <v>751</v>
      </c>
      <c r="K368">
        <v>5042</v>
      </c>
      <c r="L368">
        <v>57</v>
      </c>
      <c r="M368">
        <v>3865</v>
      </c>
      <c r="N368">
        <v>43</v>
      </c>
    </row>
    <row r="369" spans="1:14" x14ac:dyDescent="0.35">
      <c r="A369" t="s">
        <v>449</v>
      </c>
      <c r="B369" t="s">
        <v>21</v>
      </c>
      <c r="C369" t="s">
        <v>22</v>
      </c>
      <c r="D369" t="s">
        <v>17</v>
      </c>
      <c r="E369" t="s">
        <v>23</v>
      </c>
      <c r="F369" t="s">
        <v>19</v>
      </c>
      <c r="G369">
        <v>2010</v>
      </c>
      <c r="H369">
        <v>8900</v>
      </c>
      <c r="I369">
        <v>4219</v>
      </c>
      <c r="J369">
        <v>4682</v>
      </c>
      <c r="K369">
        <v>2876</v>
      </c>
      <c r="L369">
        <v>32</v>
      </c>
      <c r="M369">
        <v>6023</v>
      </c>
      <c r="N369">
        <v>68</v>
      </c>
    </row>
    <row r="370" spans="1:14" x14ac:dyDescent="0.35">
      <c r="A370" t="s">
        <v>450</v>
      </c>
      <c r="B370" t="s">
        <v>15</v>
      </c>
      <c r="C370" t="s">
        <v>22</v>
      </c>
      <c r="D370" t="s">
        <v>17</v>
      </c>
      <c r="E370" t="s">
        <v>292</v>
      </c>
      <c r="F370" t="s">
        <v>49</v>
      </c>
      <c r="G370">
        <v>1995</v>
      </c>
      <c r="H370">
        <v>8848</v>
      </c>
      <c r="I370">
        <v>8855</v>
      </c>
      <c r="J370">
        <v>0</v>
      </c>
      <c r="K370">
        <v>8823</v>
      </c>
      <c r="L370">
        <v>100</v>
      </c>
      <c r="M370">
        <v>25</v>
      </c>
      <c r="N370">
        <v>0</v>
      </c>
    </row>
    <row r="371" spans="1:14" x14ac:dyDescent="0.35">
      <c r="A371" t="s">
        <v>451</v>
      </c>
      <c r="B371" t="s">
        <v>21</v>
      </c>
      <c r="C371" t="s">
        <v>22</v>
      </c>
      <c r="D371" t="s">
        <v>17</v>
      </c>
      <c r="E371" t="s">
        <v>23</v>
      </c>
      <c r="F371" t="s">
        <v>19</v>
      </c>
      <c r="G371">
        <v>2012</v>
      </c>
      <c r="H371">
        <v>8831</v>
      </c>
      <c r="I371">
        <v>6995</v>
      </c>
      <c r="J371">
        <v>1840</v>
      </c>
      <c r="K371">
        <v>6603</v>
      </c>
      <c r="L371">
        <v>75</v>
      </c>
      <c r="M371">
        <v>2228</v>
      </c>
      <c r="N371">
        <v>25</v>
      </c>
    </row>
    <row r="372" spans="1:14" x14ac:dyDescent="0.35">
      <c r="A372" t="s">
        <v>452</v>
      </c>
      <c r="B372" t="s">
        <v>21</v>
      </c>
      <c r="C372" t="s">
        <v>22</v>
      </c>
      <c r="D372" t="s">
        <v>17</v>
      </c>
      <c r="E372" t="s">
        <v>28</v>
      </c>
      <c r="F372" t="s">
        <v>19</v>
      </c>
      <c r="G372">
        <v>1985</v>
      </c>
      <c r="H372">
        <v>8829</v>
      </c>
      <c r="I372">
        <v>7564</v>
      </c>
      <c r="J372">
        <v>1268</v>
      </c>
      <c r="K372">
        <v>6763</v>
      </c>
      <c r="L372">
        <v>77</v>
      </c>
      <c r="M372">
        <v>2066</v>
      </c>
      <c r="N372">
        <v>23</v>
      </c>
    </row>
    <row r="373" spans="1:14" x14ac:dyDescent="0.35">
      <c r="A373" t="s">
        <v>453</v>
      </c>
      <c r="B373" t="s">
        <v>21</v>
      </c>
      <c r="C373" t="s">
        <v>148</v>
      </c>
      <c r="D373" t="s">
        <v>17</v>
      </c>
      <c r="E373" t="s">
        <v>23</v>
      </c>
      <c r="F373" t="s">
        <v>19</v>
      </c>
      <c r="G373">
        <v>2006</v>
      </c>
      <c r="H373">
        <v>8809</v>
      </c>
      <c r="I373">
        <v>5689</v>
      </c>
      <c r="J373">
        <v>3123</v>
      </c>
      <c r="K373">
        <v>4223</v>
      </c>
      <c r="L373">
        <v>48</v>
      </c>
      <c r="M373">
        <v>4586</v>
      </c>
      <c r="N373">
        <v>52</v>
      </c>
    </row>
    <row r="374" spans="1:14" x14ac:dyDescent="0.35">
      <c r="A374" t="s">
        <v>454</v>
      </c>
      <c r="B374" t="s">
        <v>15</v>
      </c>
      <c r="C374" t="s">
        <v>22</v>
      </c>
      <c r="D374" t="s">
        <v>25</v>
      </c>
      <c r="E374" t="s">
        <v>26</v>
      </c>
      <c r="F374" t="s">
        <v>19</v>
      </c>
      <c r="G374">
        <v>2010</v>
      </c>
      <c r="H374">
        <v>8802</v>
      </c>
      <c r="I374">
        <v>1221</v>
      </c>
      <c r="J374">
        <v>7581</v>
      </c>
      <c r="K374">
        <v>0</v>
      </c>
      <c r="L374">
        <v>0</v>
      </c>
      <c r="M374">
        <v>8802</v>
      </c>
      <c r="N374">
        <v>100</v>
      </c>
    </row>
    <row r="375" spans="1:14" x14ac:dyDescent="0.35">
      <c r="A375" t="s">
        <v>455</v>
      </c>
      <c r="B375" t="s">
        <v>21</v>
      </c>
      <c r="C375" t="s">
        <v>34</v>
      </c>
      <c r="D375" t="s">
        <v>17</v>
      </c>
      <c r="E375" t="s">
        <v>456</v>
      </c>
      <c r="F375" t="s">
        <v>19</v>
      </c>
      <c r="G375">
        <v>2003</v>
      </c>
      <c r="H375">
        <v>8780</v>
      </c>
      <c r="I375">
        <v>8238</v>
      </c>
      <c r="J375">
        <v>548</v>
      </c>
      <c r="K375">
        <v>7558</v>
      </c>
      <c r="L375">
        <v>86</v>
      </c>
      <c r="M375">
        <v>1222</v>
      </c>
      <c r="N375">
        <v>14</v>
      </c>
    </row>
    <row r="376" spans="1:14" x14ac:dyDescent="0.35">
      <c r="A376" t="s">
        <v>457</v>
      </c>
      <c r="B376" t="s">
        <v>15</v>
      </c>
      <c r="C376" t="s">
        <v>22</v>
      </c>
      <c r="D376" t="s">
        <v>17</v>
      </c>
      <c r="E376" t="s">
        <v>23</v>
      </c>
      <c r="F376" t="s">
        <v>49</v>
      </c>
      <c r="G376">
        <v>2010</v>
      </c>
      <c r="H376">
        <v>8780</v>
      </c>
      <c r="I376">
        <v>7851</v>
      </c>
      <c r="J376">
        <v>933</v>
      </c>
      <c r="K376">
        <v>8155</v>
      </c>
      <c r="L376">
        <v>93</v>
      </c>
      <c r="M376">
        <v>625</v>
      </c>
      <c r="N376">
        <v>7</v>
      </c>
    </row>
    <row r="377" spans="1:14" x14ac:dyDescent="0.35">
      <c r="A377" t="s">
        <v>458</v>
      </c>
      <c r="B377" t="s">
        <v>15</v>
      </c>
      <c r="C377" t="s">
        <v>72</v>
      </c>
      <c r="D377" t="s">
        <v>73</v>
      </c>
      <c r="E377" t="s">
        <v>74</v>
      </c>
      <c r="F377" t="s">
        <v>19</v>
      </c>
      <c r="G377">
        <v>2015</v>
      </c>
      <c r="H377">
        <v>8733</v>
      </c>
      <c r="I377">
        <v>2988</v>
      </c>
      <c r="J377">
        <v>5745</v>
      </c>
      <c r="K377">
        <v>7</v>
      </c>
      <c r="L377">
        <v>0</v>
      </c>
      <c r="M377">
        <v>8726</v>
      </c>
      <c r="N377">
        <v>100</v>
      </c>
    </row>
    <row r="378" spans="1:14" x14ac:dyDescent="0.35">
      <c r="A378" t="s">
        <v>459</v>
      </c>
      <c r="B378" t="s">
        <v>15</v>
      </c>
      <c r="C378" t="s">
        <v>34</v>
      </c>
      <c r="D378" t="s">
        <v>17</v>
      </c>
      <c r="E378" t="s">
        <v>18</v>
      </c>
      <c r="F378" t="s">
        <v>19</v>
      </c>
      <c r="G378">
        <v>2015</v>
      </c>
      <c r="H378">
        <v>8715</v>
      </c>
      <c r="I378">
        <v>7649</v>
      </c>
      <c r="J378">
        <v>1072</v>
      </c>
      <c r="K378">
        <v>2527</v>
      </c>
      <c r="L378">
        <v>29</v>
      </c>
      <c r="M378">
        <v>6188</v>
      </c>
      <c r="N378">
        <v>71</v>
      </c>
    </row>
    <row r="379" spans="1:14" x14ac:dyDescent="0.35">
      <c r="A379" t="s">
        <v>460</v>
      </c>
      <c r="B379" t="s">
        <v>21</v>
      </c>
      <c r="C379" t="s">
        <v>16</v>
      </c>
      <c r="D379" t="s">
        <v>17</v>
      </c>
      <c r="E379" t="s">
        <v>23</v>
      </c>
      <c r="F379" t="s">
        <v>19</v>
      </c>
      <c r="G379">
        <v>2002</v>
      </c>
      <c r="H379">
        <v>8706</v>
      </c>
      <c r="I379">
        <v>8477</v>
      </c>
      <c r="J379">
        <v>233</v>
      </c>
      <c r="K379">
        <v>8084</v>
      </c>
      <c r="L379">
        <v>93</v>
      </c>
      <c r="M379">
        <v>623</v>
      </c>
      <c r="N379">
        <v>7</v>
      </c>
    </row>
    <row r="380" spans="1:14" x14ac:dyDescent="0.35">
      <c r="A380" t="s">
        <v>461</v>
      </c>
      <c r="B380" t="s">
        <v>15</v>
      </c>
      <c r="C380" t="s">
        <v>462</v>
      </c>
      <c r="D380" t="s">
        <v>17</v>
      </c>
      <c r="E380" t="s">
        <v>61</v>
      </c>
      <c r="F380" t="s">
        <v>19</v>
      </c>
      <c r="G380">
        <v>2014</v>
      </c>
      <c r="H380">
        <v>8699</v>
      </c>
      <c r="I380">
        <v>8316</v>
      </c>
      <c r="J380">
        <v>386</v>
      </c>
      <c r="K380">
        <v>1924</v>
      </c>
      <c r="L380">
        <v>22</v>
      </c>
      <c r="M380">
        <v>6776</v>
      </c>
      <c r="N380">
        <v>78</v>
      </c>
    </row>
    <row r="381" spans="1:14" x14ac:dyDescent="0.35">
      <c r="A381" t="s">
        <v>463</v>
      </c>
      <c r="B381" t="s">
        <v>15</v>
      </c>
      <c r="C381" t="s">
        <v>22</v>
      </c>
      <c r="D381" t="s">
        <v>17</v>
      </c>
      <c r="E381" t="s">
        <v>52</v>
      </c>
      <c r="F381" t="s">
        <v>49</v>
      </c>
      <c r="G381">
        <v>2003</v>
      </c>
      <c r="H381">
        <v>8648</v>
      </c>
      <c r="I381">
        <v>8598</v>
      </c>
      <c r="J381">
        <v>54</v>
      </c>
      <c r="K381">
        <v>8555</v>
      </c>
      <c r="L381">
        <v>99</v>
      </c>
      <c r="M381">
        <v>93</v>
      </c>
      <c r="N381">
        <v>1</v>
      </c>
    </row>
    <row r="382" spans="1:14" x14ac:dyDescent="0.35">
      <c r="A382" t="s">
        <v>464</v>
      </c>
      <c r="B382" t="s">
        <v>15</v>
      </c>
      <c r="C382" t="s">
        <v>90</v>
      </c>
      <c r="D382" t="s">
        <v>25</v>
      </c>
      <c r="E382" t="s">
        <v>91</v>
      </c>
      <c r="F382" t="s">
        <v>19</v>
      </c>
      <c r="G382">
        <v>1975</v>
      </c>
      <c r="H382">
        <v>8622</v>
      </c>
      <c r="I382">
        <v>8534</v>
      </c>
      <c r="J382">
        <v>98</v>
      </c>
      <c r="K382">
        <v>7271</v>
      </c>
      <c r="L382">
        <v>84</v>
      </c>
      <c r="M382">
        <v>1351</v>
      </c>
      <c r="N382">
        <v>16</v>
      </c>
    </row>
    <row r="383" spans="1:14" x14ac:dyDescent="0.35">
      <c r="A383" t="s">
        <v>465</v>
      </c>
      <c r="B383" t="s">
        <v>15</v>
      </c>
      <c r="C383" t="s">
        <v>90</v>
      </c>
      <c r="D383" t="s">
        <v>25</v>
      </c>
      <c r="E383" t="s">
        <v>83</v>
      </c>
      <c r="F383" t="s">
        <v>19</v>
      </c>
      <c r="G383">
        <v>1992</v>
      </c>
      <c r="H383">
        <v>8617</v>
      </c>
      <c r="I383">
        <v>7718</v>
      </c>
      <c r="J383">
        <v>900</v>
      </c>
      <c r="K383">
        <v>6368</v>
      </c>
      <c r="L383">
        <v>74</v>
      </c>
      <c r="M383">
        <v>2249</v>
      </c>
      <c r="N383">
        <v>26</v>
      </c>
    </row>
    <row r="384" spans="1:14" x14ac:dyDescent="0.35">
      <c r="A384" t="s">
        <v>466</v>
      </c>
      <c r="B384" t="s">
        <v>15</v>
      </c>
      <c r="C384" t="s">
        <v>34</v>
      </c>
      <c r="D384" t="s">
        <v>17</v>
      </c>
      <c r="E384" t="s">
        <v>58</v>
      </c>
      <c r="F384" t="s">
        <v>49</v>
      </c>
      <c r="G384">
        <v>2012</v>
      </c>
      <c r="H384">
        <v>8591</v>
      </c>
      <c r="I384">
        <v>8579</v>
      </c>
      <c r="J384">
        <v>15</v>
      </c>
      <c r="K384">
        <v>7996</v>
      </c>
      <c r="L384">
        <v>93</v>
      </c>
      <c r="M384">
        <v>595</v>
      </c>
      <c r="N384">
        <v>7</v>
      </c>
    </row>
    <row r="385" spans="1:14" x14ac:dyDescent="0.35">
      <c r="A385" t="s">
        <v>467</v>
      </c>
      <c r="B385" t="s">
        <v>15</v>
      </c>
      <c r="C385" t="s">
        <v>72</v>
      </c>
      <c r="D385" t="s">
        <v>73</v>
      </c>
      <c r="E385" t="s">
        <v>74</v>
      </c>
      <c r="F385" t="s">
        <v>49</v>
      </c>
      <c r="G385">
        <v>2009</v>
      </c>
      <c r="H385">
        <v>8584</v>
      </c>
      <c r="I385">
        <v>6741</v>
      </c>
      <c r="J385">
        <v>1843</v>
      </c>
      <c r="K385">
        <v>20</v>
      </c>
      <c r="L385">
        <v>0</v>
      </c>
      <c r="M385">
        <v>8564</v>
      </c>
      <c r="N385">
        <v>100</v>
      </c>
    </row>
    <row r="386" spans="1:14" x14ac:dyDescent="0.35">
      <c r="A386" t="s">
        <v>468</v>
      </c>
      <c r="B386" t="s">
        <v>15</v>
      </c>
      <c r="C386" t="s">
        <v>22</v>
      </c>
      <c r="D386" t="s">
        <v>17</v>
      </c>
      <c r="E386" t="s">
        <v>18</v>
      </c>
      <c r="F386" t="s">
        <v>19</v>
      </c>
      <c r="G386">
        <v>2014</v>
      </c>
      <c r="H386">
        <v>8564</v>
      </c>
      <c r="I386">
        <v>5566</v>
      </c>
      <c r="J386">
        <v>3001</v>
      </c>
      <c r="K386">
        <v>3239</v>
      </c>
      <c r="L386">
        <v>38</v>
      </c>
      <c r="M386">
        <v>5326</v>
      </c>
      <c r="N386">
        <v>62</v>
      </c>
    </row>
    <row r="387" spans="1:14" x14ac:dyDescent="0.35">
      <c r="A387" t="s">
        <v>469</v>
      </c>
      <c r="B387" t="s">
        <v>15</v>
      </c>
      <c r="C387" t="s">
        <v>16</v>
      </c>
      <c r="D387" t="s">
        <v>17</v>
      </c>
      <c r="E387" t="s">
        <v>18</v>
      </c>
      <c r="F387" t="s">
        <v>19</v>
      </c>
      <c r="G387">
        <v>2017</v>
      </c>
      <c r="H387">
        <v>8564</v>
      </c>
      <c r="I387">
        <v>5620</v>
      </c>
      <c r="J387">
        <v>2945</v>
      </c>
      <c r="K387">
        <v>1853</v>
      </c>
      <c r="L387">
        <v>22</v>
      </c>
      <c r="M387">
        <v>6712</v>
      </c>
      <c r="N387">
        <v>78</v>
      </c>
    </row>
    <row r="388" spans="1:14" x14ac:dyDescent="0.35">
      <c r="A388" t="s">
        <v>470</v>
      </c>
      <c r="B388" t="s">
        <v>15</v>
      </c>
      <c r="C388" t="s">
        <v>22</v>
      </c>
      <c r="D388" t="s">
        <v>17</v>
      </c>
      <c r="E388" t="s">
        <v>52</v>
      </c>
      <c r="F388" t="s">
        <v>19</v>
      </c>
      <c r="G388">
        <v>2001</v>
      </c>
      <c r="H388">
        <v>8551</v>
      </c>
      <c r="I388">
        <v>8199</v>
      </c>
      <c r="J388">
        <v>355</v>
      </c>
      <c r="K388">
        <v>7908</v>
      </c>
      <c r="L388">
        <v>92</v>
      </c>
      <c r="M388">
        <v>644</v>
      </c>
      <c r="N388">
        <v>8</v>
      </c>
    </row>
    <row r="389" spans="1:14" x14ac:dyDescent="0.35">
      <c r="A389" t="s">
        <v>471</v>
      </c>
      <c r="B389" t="s">
        <v>79</v>
      </c>
      <c r="C389" t="s">
        <v>46</v>
      </c>
      <c r="D389" t="s">
        <v>47</v>
      </c>
      <c r="E389" t="s">
        <v>48</v>
      </c>
      <c r="F389" t="s">
        <v>49</v>
      </c>
      <c r="G389">
        <v>2015</v>
      </c>
      <c r="H389">
        <v>8531</v>
      </c>
      <c r="I389">
        <v>8466</v>
      </c>
      <c r="J389">
        <v>70</v>
      </c>
      <c r="K389">
        <v>8285</v>
      </c>
      <c r="L389">
        <v>97</v>
      </c>
      <c r="M389">
        <v>246</v>
      </c>
      <c r="N389">
        <v>3</v>
      </c>
    </row>
    <row r="390" spans="1:14" x14ac:dyDescent="0.35">
      <c r="A390" t="s">
        <v>472</v>
      </c>
      <c r="B390" t="s">
        <v>15</v>
      </c>
      <c r="C390" t="s">
        <v>205</v>
      </c>
      <c r="D390" t="s">
        <v>17</v>
      </c>
      <c r="E390" t="s">
        <v>52</v>
      </c>
      <c r="F390" t="s">
        <v>49</v>
      </c>
      <c r="G390">
        <v>2008</v>
      </c>
      <c r="H390">
        <v>8510</v>
      </c>
      <c r="I390">
        <v>8484</v>
      </c>
      <c r="J390">
        <v>29</v>
      </c>
      <c r="K390">
        <v>6435</v>
      </c>
      <c r="L390">
        <v>76</v>
      </c>
      <c r="M390">
        <v>2074</v>
      </c>
      <c r="N390">
        <v>24</v>
      </c>
    </row>
    <row r="391" spans="1:14" x14ac:dyDescent="0.35">
      <c r="A391" t="s">
        <v>473</v>
      </c>
      <c r="B391" t="s">
        <v>21</v>
      </c>
      <c r="C391" t="s">
        <v>223</v>
      </c>
      <c r="D391" t="s">
        <v>25</v>
      </c>
      <c r="E391" t="s">
        <v>23</v>
      </c>
      <c r="F391" t="s">
        <v>19</v>
      </c>
      <c r="G391">
        <v>2016</v>
      </c>
      <c r="H391">
        <v>8508</v>
      </c>
      <c r="I391">
        <v>5812</v>
      </c>
      <c r="J391">
        <v>2696</v>
      </c>
      <c r="K391">
        <v>1930</v>
      </c>
      <c r="L391">
        <v>23</v>
      </c>
      <c r="M391">
        <v>6578</v>
      </c>
      <c r="N391">
        <v>77</v>
      </c>
    </row>
    <row r="392" spans="1:14" x14ac:dyDescent="0.35">
      <c r="A392" t="s">
        <v>474</v>
      </c>
      <c r="B392" t="s">
        <v>79</v>
      </c>
      <c r="C392" t="s">
        <v>22</v>
      </c>
      <c r="D392" t="s">
        <v>17</v>
      </c>
      <c r="E392" t="s">
        <v>23</v>
      </c>
      <c r="F392" t="s">
        <v>49</v>
      </c>
      <c r="G392">
        <v>1996</v>
      </c>
      <c r="H392">
        <v>8486</v>
      </c>
      <c r="I392">
        <v>8144</v>
      </c>
      <c r="J392">
        <v>346</v>
      </c>
      <c r="K392">
        <v>8126</v>
      </c>
      <c r="L392">
        <v>96</v>
      </c>
      <c r="M392">
        <v>360</v>
      </c>
      <c r="N392">
        <v>4</v>
      </c>
    </row>
    <row r="393" spans="1:14" x14ac:dyDescent="0.35">
      <c r="A393" t="s">
        <v>475</v>
      </c>
      <c r="B393" t="s">
        <v>15</v>
      </c>
      <c r="C393" t="s">
        <v>46</v>
      </c>
      <c r="D393" t="s">
        <v>47</v>
      </c>
      <c r="E393" t="s">
        <v>48</v>
      </c>
      <c r="F393" t="s">
        <v>19</v>
      </c>
      <c r="G393">
        <v>2013</v>
      </c>
      <c r="H393">
        <v>8473</v>
      </c>
      <c r="I393">
        <v>7819</v>
      </c>
      <c r="J393">
        <v>657</v>
      </c>
      <c r="K393">
        <v>6968</v>
      </c>
      <c r="L393">
        <v>82</v>
      </c>
      <c r="M393">
        <v>1505</v>
      </c>
      <c r="N393">
        <v>18</v>
      </c>
    </row>
    <row r="394" spans="1:14" x14ac:dyDescent="0.35">
      <c r="A394" t="s">
        <v>476</v>
      </c>
      <c r="B394" t="s">
        <v>15</v>
      </c>
      <c r="C394" t="s">
        <v>22</v>
      </c>
      <c r="D394" t="s">
        <v>25</v>
      </c>
      <c r="E394" t="s">
        <v>26</v>
      </c>
      <c r="F394" t="s">
        <v>49</v>
      </c>
      <c r="G394">
        <v>2004</v>
      </c>
      <c r="H394">
        <v>8457</v>
      </c>
      <c r="I394">
        <v>370</v>
      </c>
      <c r="J394">
        <v>8088</v>
      </c>
      <c r="K394">
        <v>1</v>
      </c>
      <c r="L394">
        <v>0</v>
      </c>
      <c r="M394">
        <v>8456</v>
      </c>
      <c r="N394">
        <v>100</v>
      </c>
    </row>
    <row r="395" spans="1:14" x14ac:dyDescent="0.35">
      <c r="A395" t="s">
        <v>477</v>
      </c>
      <c r="B395" t="s">
        <v>15</v>
      </c>
      <c r="C395" t="s">
        <v>22</v>
      </c>
      <c r="D395" t="s">
        <v>17</v>
      </c>
      <c r="E395" t="s">
        <v>18</v>
      </c>
      <c r="F395" t="s">
        <v>19</v>
      </c>
      <c r="G395">
        <v>2018</v>
      </c>
      <c r="H395">
        <v>8454</v>
      </c>
      <c r="I395">
        <v>6568</v>
      </c>
      <c r="J395">
        <v>1885</v>
      </c>
      <c r="K395">
        <v>4039</v>
      </c>
      <c r="L395">
        <v>48</v>
      </c>
      <c r="M395">
        <v>4414</v>
      </c>
      <c r="N395">
        <v>52</v>
      </c>
    </row>
    <row r="396" spans="1:14" x14ac:dyDescent="0.35">
      <c r="A396" t="s">
        <v>478</v>
      </c>
      <c r="B396" t="s">
        <v>15</v>
      </c>
      <c r="C396" t="s">
        <v>479</v>
      </c>
      <c r="D396" t="s">
        <v>258</v>
      </c>
      <c r="E396" t="s">
        <v>18</v>
      </c>
      <c r="F396" t="s">
        <v>19</v>
      </c>
      <c r="G396">
        <v>2013</v>
      </c>
      <c r="H396">
        <v>8440</v>
      </c>
      <c r="I396">
        <v>6943</v>
      </c>
      <c r="J396">
        <v>1509</v>
      </c>
      <c r="K396">
        <v>3539</v>
      </c>
      <c r="L396">
        <v>42</v>
      </c>
      <c r="M396">
        <v>4901</v>
      </c>
      <c r="N396">
        <v>58</v>
      </c>
    </row>
    <row r="397" spans="1:14" x14ac:dyDescent="0.35">
      <c r="A397" t="s">
        <v>480</v>
      </c>
      <c r="B397" t="s">
        <v>15</v>
      </c>
      <c r="C397" t="s">
        <v>90</v>
      </c>
      <c r="D397" t="s">
        <v>25</v>
      </c>
      <c r="E397" t="s">
        <v>91</v>
      </c>
      <c r="F397" t="s">
        <v>49</v>
      </c>
      <c r="G397">
        <v>2010</v>
      </c>
      <c r="H397">
        <v>8434</v>
      </c>
      <c r="I397">
        <v>7838</v>
      </c>
      <c r="J397">
        <v>603</v>
      </c>
      <c r="K397">
        <v>7244</v>
      </c>
      <c r="L397">
        <v>86</v>
      </c>
      <c r="M397">
        <v>1190</v>
      </c>
      <c r="N397">
        <v>14</v>
      </c>
    </row>
    <row r="398" spans="1:14" x14ac:dyDescent="0.35">
      <c r="A398" t="s">
        <v>481</v>
      </c>
      <c r="B398" t="s">
        <v>21</v>
      </c>
      <c r="C398" t="s">
        <v>22</v>
      </c>
      <c r="D398" t="s">
        <v>17</v>
      </c>
      <c r="E398" t="s">
        <v>23</v>
      </c>
      <c r="F398" t="s">
        <v>19</v>
      </c>
      <c r="G398">
        <v>2017</v>
      </c>
      <c r="H398">
        <v>8383</v>
      </c>
      <c r="I398">
        <v>8388</v>
      </c>
      <c r="J398">
        <v>0</v>
      </c>
      <c r="K398">
        <v>8380</v>
      </c>
      <c r="L398">
        <v>100</v>
      </c>
      <c r="M398">
        <v>3</v>
      </c>
      <c r="N398">
        <v>0</v>
      </c>
    </row>
    <row r="399" spans="1:14" x14ac:dyDescent="0.35">
      <c r="A399" t="s">
        <v>482</v>
      </c>
      <c r="B399" t="s">
        <v>15</v>
      </c>
      <c r="C399" t="s">
        <v>22</v>
      </c>
      <c r="D399" t="s">
        <v>17</v>
      </c>
      <c r="E399" t="s">
        <v>456</v>
      </c>
      <c r="F399" t="s">
        <v>19</v>
      </c>
      <c r="G399">
        <v>1962</v>
      </c>
      <c r="H399">
        <v>8372</v>
      </c>
      <c r="I399">
        <v>7724</v>
      </c>
      <c r="J399">
        <v>648</v>
      </c>
      <c r="K399">
        <v>7486</v>
      </c>
      <c r="L399">
        <v>89</v>
      </c>
      <c r="M399">
        <v>886</v>
      </c>
      <c r="N399">
        <v>11</v>
      </c>
    </row>
    <row r="400" spans="1:14" x14ac:dyDescent="0.35">
      <c r="A400" t="s">
        <v>483</v>
      </c>
      <c r="B400" t="s">
        <v>15</v>
      </c>
      <c r="C400" t="s">
        <v>22</v>
      </c>
      <c r="D400" t="s">
        <v>17</v>
      </c>
      <c r="E400" t="s">
        <v>18</v>
      </c>
      <c r="F400" t="s">
        <v>19</v>
      </c>
      <c r="G400">
        <v>1991</v>
      </c>
      <c r="H400">
        <v>8371</v>
      </c>
      <c r="I400">
        <v>1884</v>
      </c>
      <c r="J400">
        <v>6487</v>
      </c>
      <c r="K400">
        <v>176</v>
      </c>
      <c r="L400">
        <v>2</v>
      </c>
      <c r="M400">
        <v>8195</v>
      </c>
      <c r="N400">
        <v>98</v>
      </c>
    </row>
    <row r="401" spans="1:14" x14ac:dyDescent="0.35">
      <c r="A401" t="s">
        <v>484</v>
      </c>
      <c r="B401" t="s">
        <v>15</v>
      </c>
      <c r="C401" t="s">
        <v>34</v>
      </c>
      <c r="D401" t="s">
        <v>17</v>
      </c>
      <c r="E401" t="s">
        <v>23</v>
      </c>
      <c r="F401" t="s">
        <v>19</v>
      </c>
      <c r="G401">
        <v>2003</v>
      </c>
      <c r="H401">
        <v>8366</v>
      </c>
      <c r="I401">
        <v>6159</v>
      </c>
      <c r="J401">
        <v>2210</v>
      </c>
      <c r="K401">
        <v>10</v>
      </c>
      <c r="L401">
        <v>0</v>
      </c>
      <c r="M401">
        <v>8356</v>
      </c>
      <c r="N401">
        <v>100</v>
      </c>
    </row>
    <row r="402" spans="1:14" x14ac:dyDescent="0.35">
      <c r="A402" t="s">
        <v>485</v>
      </c>
      <c r="B402" t="s">
        <v>21</v>
      </c>
      <c r="C402" t="s">
        <v>22</v>
      </c>
      <c r="D402" t="s">
        <v>17</v>
      </c>
      <c r="E402" t="s">
        <v>23</v>
      </c>
      <c r="F402" t="s">
        <v>19</v>
      </c>
      <c r="G402">
        <v>2002</v>
      </c>
      <c r="H402">
        <v>8339</v>
      </c>
      <c r="I402">
        <v>7864</v>
      </c>
      <c r="J402">
        <v>477</v>
      </c>
      <c r="K402">
        <v>7297</v>
      </c>
      <c r="L402">
        <v>88</v>
      </c>
      <c r="M402">
        <v>1042</v>
      </c>
      <c r="N402">
        <v>12</v>
      </c>
    </row>
    <row r="403" spans="1:14" x14ac:dyDescent="0.35">
      <c r="A403" t="s">
        <v>486</v>
      </c>
      <c r="B403" t="s">
        <v>15</v>
      </c>
      <c r="C403" t="s">
        <v>22</v>
      </c>
      <c r="D403" t="s">
        <v>17</v>
      </c>
      <c r="E403" t="s">
        <v>52</v>
      </c>
      <c r="F403" t="s">
        <v>49</v>
      </c>
      <c r="G403">
        <v>1989</v>
      </c>
      <c r="H403">
        <v>8330</v>
      </c>
      <c r="I403">
        <v>8329</v>
      </c>
      <c r="J403">
        <v>6</v>
      </c>
      <c r="K403">
        <v>8188</v>
      </c>
      <c r="L403">
        <v>98</v>
      </c>
      <c r="M403">
        <v>142</v>
      </c>
      <c r="N403">
        <v>2</v>
      </c>
    </row>
    <row r="404" spans="1:14" x14ac:dyDescent="0.35">
      <c r="A404" t="s">
        <v>487</v>
      </c>
      <c r="B404" t="s">
        <v>15</v>
      </c>
      <c r="C404" t="s">
        <v>129</v>
      </c>
      <c r="D404" t="s">
        <v>130</v>
      </c>
      <c r="E404" t="s">
        <v>18</v>
      </c>
      <c r="F404" t="s">
        <v>19</v>
      </c>
      <c r="G404">
        <v>2006</v>
      </c>
      <c r="H404">
        <v>8327</v>
      </c>
      <c r="I404">
        <v>4696</v>
      </c>
      <c r="J404">
        <v>3630</v>
      </c>
      <c r="K404">
        <v>1126</v>
      </c>
      <c r="L404">
        <v>14</v>
      </c>
      <c r="M404">
        <v>7201</v>
      </c>
      <c r="N404">
        <v>86</v>
      </c>
    </row>
    <row r="405" spans="1:14" x14ac:dyDescent="0.35">
      <c r="A405" t="s">
        <v>488</v>
      </c>
      <c r="B405" t="s">
        <v>21</v>
      </c>
      <c r="C405" t="s">
        <v>129</v>
      </c>
      <c r="D405" t="s">
        <v>130</v>
      </c>
      <c r="E405" t="s">
        <v>489</v>
      </c>
      <c r="F405" t="s">
        <v>19</v>
      </c>
      <c r="G405">
        <v>1980</v>
      </c>
      <c r="H405">
        <v>8316</v>
      </c>
      <c r="I405">
        <v>8318</v>
      </c>
      <c r="J405">
        <v>0</v>
      </c>
      <c r="K405">
        <v>8289</v>
      </c>
      <c r="L405">
        <v>100</v>
      </c>
      <c r="M405">
        <v>28</v>
      </c>
      <c r="N405">
        <v>0</v>
      </c>
    </row>
    <row r="406" spans="1:14" x14ac:dyDescent="0.35">
      <c r="A406" t="s">
        <v>490</v>
      </c>
      <c r="B406" t="s">
        <v>15</v>
      </c>
      <c r="C406" t="s">
        <v>223</v>
      </c>
      <c r="D406" t="s">
        <v>25</v>
      </c>
      <c r="E406" t="s">
        <v>18</v>
      </c>
      <c r="F406" t="s">
        <v>19</v>
      </c>
      <c r="G406">
        <v>2021</v>
      </c>
      <c r="H406">
        <v>8309</v>
      </c>
      <c r="I406">
        <v>5592</v>
      </c>
      <c r="J406">
        <v>2724</v>
      </c>
      <c r="K406">
        <v>3546</v>
      </c>
      <c r="L406">
        <v>43</v>
      </c>
      <c r="M406">
        <v>4763</v>
      </c>
      <c r="N406">
        <v>57</v>
      </c>
    </row>
    <row r="407" spans="1:14" x14ac:dyDescent="0.35">
      <c r="A407" t="s">
        <v>491</v>
      </c>
      <c r="B407" t="s">
        <v>15</v>
      </c>
      <c r="C407" t="s">
        <v>22</v>
      </c>
      <c r="D407" t="s">
        <v>25</v>
      </c>
      <c r="E407" t="s">
        <v>26</v>
      </c>
      <c r="F407" t="s">
        <v>19</v>
      </c>
      <c r="G407">
        <v>2019</v>
      </c>
      <c r="H407">
        <v>8282</v>
      </c>
      <c r="I407">
        <v>6707</v>
      </c>
      <c r="J407">
        <v>1607</v>
      </c>
      <c r="K407">
        <v>1000</v>
      </c>
      <c r="L407">
        <v>12</v>
      </c>
      <c r="M407">
        <v>7283</v>
      </c>
      <c r="N407">
        <v>88</v>
      </c>
    </row>
    <row r="408" spans="1:14" x14ac:dyDescent="0.35">
      <c r="A408" t="s">
        <v>492</v>
      </c>
      <c r="B408" t="s">
        <v>15</v>
      </c>
      <c r="C408" t="s">
        <v>129</v>
      </c>
      <c r="D408" t="s">
        <v>17</v>
      </c>
      <c r="E408" t="s">
        <v>61</v>
      </c>
      <c r="F408" t="s">
        <v>19</v>
      </c>
      <c r="G408">
        <v>2013</v>
      </c>
      <c r="H408">
        <v>8279</v>
      </c>
      <c r="I408">
        <v>4899</v>
      </c>
      <c r="J408">
        <v>3390</v>
      </c>
      <c r="K408">
        <v>54</v>
      </c>
      <c r="L408">
        <v>1</v>
      </c>
      <c r="M408">
        <v>8225</v>
      </c>
      <c r="N408">
        <v>99</v>
      </c>
    </row>
    <row r="409" spans="1:14" x14ac:dyDescent="0.35">
      <c r="A409" t="s">
        <v>493</v>
      </c>
      <c r="B409" t="s">
        <v>15</v>
      </c>
      <c r="C409" t="s">
        <v>205</v>
      </c>
      <c r="D409" t="s">
        <v>17</v>
      </c>
      <c r="E409" t="s">
        <v>23</v>
      </c>
      <c r="F409" t="s">
        <v>19</v>
      </c>
      <c r="G409">
        <v>2010</v>
      </c>
      <c r="H409">
        <v>8263</v>
      </c>
      <c r="I409">
        <v>3585</v>
      </c>
      <c r="J409">
        <v>4694</v>
      </c>
      <c r="K409">
        <v>6241</v>
      </c>
      <c r="L409">
        <v>76</v>
      </c>
      <c r="M409">
        <v>2022</v>
      </c>
      <c r="N409">
        <v>24</v>
      </c>
    </row>
    <row r="410" spans="1:14" x14ac:dyDescent="0.35">
      <c r="A410" t="s">
        <v>494</v>
      </c>
      <c r="B410" t="s">
        <v>15</v>
      </c>
      <c r="C410" t="s">
        <v>22</v>
      </c>
      <c r="D410" t="s">
        <v>17</v>
      </c>
      <c r="E410" t="s">
        <v>18</v>
      </c>
      <c r="F410" t="s">
        <v>19</v>
      </c>
      <c r="G410">
        <v>2017</v>
      </c>
      <c r="H410">
        <v>8240</v>
      </c>
      <c r="I410">
        <v>6845</v>
      </c>
      <c r="J410">
        <v>1395</v>
      </c>
      <c r="K410">
        <v>2321</v>
      </c>
      <c r="L410">
        <v>28</v>
      </c>
      <c r="M410">
        <v>5920</v>
      </c>
      <c r="N410">
        <v>72</v>
      </c>
    </row>
    <row r="411" spans="1:14" x14ac:dyDescent="0.35">
      <c r="A411" t="s">
        <v>495</v>
      </c>
      <c r="B411" t="s">
        <v>15</v>
      </c>
      <c r="C411" t="s">
        <v>22</v>
      </c>
      <c r="D411" t="s">
        <v>17</v>
      </c>
      <c r="E411" t="s">
        <v>18</v>
      </c>
      <c r="F411" t="s">
        <v>19</v>
      </c>
      <c r="G411">
        <v>1992</v>
      </c>
      <c r="H411">
        <v>8236</v>
      </c>
      <c r="I411">
        <v>1237</v>
      </c>
      <c r="J411">
        <v>6999</v>
      </c>
      <c r="K411">
        <v>228</v>
      </c>
      <c r="L411">
        <v>3</v>
      </c>
      <c r="M411">
        <v>8008</v>
      </c>
      <c r="N411">
        <v>97</v>
      </c>
    </row>
    <row r="412" spans="1:14" x14ac:dyDescent="0.35">
      <c r="A412" t="s">
        <v>496</v>
      </c>
      <c r="B412" t="s">
        <v>15</v>
      </c>
      <c r="C412" t="s">
        <v>22</v>
      </c>
      <c r="D412" t="s">
        <v>25</v>
      </c>
      <c r="E412" t="s">
        <v>26</v>
      </c>
      <c r="F412" t="s">
        <v>19</v>
      </c>
      <c r="G412">
        <v>2014</v>
      </c>
      <c r="H412">
        <v>8216</v>
      </c>
      <c r="I412">
        <v>761</v>
      </c>
      <c r="J412">
        <v>7456</v>
      </c>
      <c r="K412">
        <v>197</v>
      </c>
      <c r="L412">
        <v>2</v>
      </c>
      <c r="M412">
        <v>8020</v>
      </c>
      <c r="N412">
        <v>98</v>
      </c>
    </row>
    <row r="413" spans="1:14" x14ac:dyDescent="0.35">
      <c r="A413" t="s">
        <v>497</v>
      </c>
      <c r="B413" t="s">
        <v>15</v>
      </c>
      <c r="C413" t="s">
        <v>90</v>
      </c>
      <c r="D413" t="s">
        <v>25</v>
      </c>
      <c r="E413" t="s">
        <v>91</v>
      </c>
      <c r="F413" t="s">
        <v>19</v>
      </c>
      <c r="G413">
        <v>1966</v>
      </c>
      <c r="H413">
        <v>8205</v>
      </c>
      <c r="I413">
        <v>8009</v>
      </c>
      <c r="J413">
        <v>204</v>
      </c>
      <c r="K413">
        <v>7878</v>
      </c>
      <c r="L413">
        <v>96</v>
      </c>
      <c r="M413">
        <v>327</v>
      </c>
      <c r="N413">
        <v>4</v>
      </c>
    </row>
    <row r="414" spans="1:14" x14ac:dyDescent="0.35">
      <c r="A414" t="s">
        <v>498</v>
      </c>
      <c r="B414" t="s">
        <v>15</v>
      </c>
      <c r="C414" t="s">
        <v>16</v>
      </c>
      <c r="D414" t="s">
        <v>17</v>
      </c>
      <c r="E414" t="s">
        <v>52</v>
      </c>
      <c r="F414" t="s">
        <v>49</v>
      </c>
      <c r="G414">
        <v>2003</v>
      </c>
      <c r="H414">
        <v>8203</v>
      </c>
      <c r="I414">
        <v>7983</v>
      </c>
      <c r="J414">
        <v>225</v>
      </c>
      <c r="K414">
        <v>7948</v>
      </c>
      <c r="L414">
        <v>97</v>
      </c>
      <c r="M414">
        <v>255</v>
      </c>
      <c r="N414">
        <v>3</v>
      </c>
    </row>
    <row r="415" spans="1:14" x14ac:dyDescent="0.35">
      <c r="A415" t="s">
        <v>499</v>
      </c>
      <c r="B415" t="s">
        <v>79</v>
      </c>
      <c r="C415" t="s">
        <v>22</v>
      </c>
      <c r="D415" t="s">
        <v>17</v>
      </c>
      <c r="E415" t="s">
        <v>52</v>
      </c>
      <c r="F415" t="s">
        <v>49</v>
      </c>
      <c r="G415">
        <v>1973</v>
      </c>
      <c r="H415">
        <v>8200</v>
      </c>
      <c r="I415">
        <v>7224</v>
      </c>
      <c r="J415">
        <v>979</v>
      </c>
      <c r="K415">
        <v>7171</v>
      </c>
      <c r="L415">
        <v>87</v>
      </c>
      <c r="M415">
        <v>1029</v>
      </c>
      <c r="N415">
        <v>13</v>
      </c>
    </row>
    <row r="416" spans="1:14" x14ac:dyDescent="0.35">
      <c r="A416" t="s">
        <v>500</v>
      </c>
      <c r="B416" t="s">
        <v>15</v>
      </c>
      <c r="C416" t="s">
        <v>34</v>
      </c>
      <c r="D416" t="s">
        <v>17</v>
      </c>
      <c r="E416" t="s">
        <v>23</v>
      </c>
      <c r="F416" t="s">
        <v>49</v>
      </c>
      <c r="G416">
        <v>1963</v>
      </c>
      <c r="H416">
        <v>8197</v>
      </c>
      <c r="I416">
        <v>8080</v>
      </c>
      <c r="J416">
        <v>121</v>
      </c>
      <c r="K416">
        <v>7893</v>
      </c>
      <c r="L416">
        <v>96</v>
      </c>
      <c r="M416">
        <v>305</v>
      </c>
      <c r="N416">
        <v>4</v>
      </c>
    </row>
    <row r="417" spans="1:14" x14ac:dyDescent="0.35">
      <c r="A417" t="s">
        <v>501</v>
      </c>
      <c r="B417" t="s">
        <v>15</v>
      </c>
      <c r="C417" t="s">
        <v>502</v>
      </c>
      <c r="D417" t="s">
        <v>73</v>
      </c>
      <c r="E417" t="s">
        <v>74</v>
      </c>
      <c r="F417" t="s">
        <v>19</v>
      </c>
      <c r="G417">
        <v>1980</v>
      </c>
      <c r="H417">
        <v>8187</v>
      </c>
      <c r="I417">
        <v>3408</v>
      </c>
      <c r="J417">
        <v>4790</v>
      </c>
      <c r="K417">
        <v>516</v>
      </c>
      <c r="L417">
        <v>6</v>
      </c>
      <c r="M417">
        <v>7671</v>
      </c>
      <c r="N417">
        <v>94</v>
      </c>
    </row>
    <row r="418" spans="1:14" x14ac:dyDescent="0.35">
      <c r="A418" t="s">
        <v>503</v>
      </c>
      <c r="B418" t="s">
        <v>15</v>
      </c>
      <c r="C418" t="s">
        <v>43</v>
      </c>
      <c r="D418" t="s">
        <v>25</v>
      </c>
      <c r="E418" t="s">
        <v>83</v>
      </c>
      <c r="F418" t="s">
        <v>49</v>
      </c>
      <c r="G418">
        <v>2012</v>
      </c>
      <c r="H418">
        <v>8165</v>
      </c>
      <c r="I418">
        <v>7392</v>
      </c>
      <c r="J418">
        <v>776</v>
      </c>
      <c r="K418">
        <v>1621</v>
      </c>
      <c r="L418">
        <v>20</v>
      </c>
      <c r="M418">
        <v>6544</v>
      </c>
      <c r="N418">
        <v>80</v>
      </c>
    </row>
    <row r="419" spans="1:14" x14ac:dyDescent="0.35">
      <c r="A419" t="s">
        <v>504</v>
      </c>
      <c r="B419" t="s">
        <v>15</v>
      </c>
      <c r="C419" t="s">
        <v>22</v>
      </c>
      <c r="D419" t="s">
        <v>17</v>
      </c>
      <c r="E419" t="s">
        <v>18</v>
      </c>
      <c r="F419" t="s">
        <v>19</v>
      </c>
      <c r="G419">
        <v>2015</v>
      </c>
      <c r="H419">
        <v>8148</v>
      </c>
      <c r="I419">
        <v>7808</v>
      </c>
      <c r="J419">
        <v>340</v>
      </c>
      <c r="K419">
        <v>6617</v>
      </c>
      <c r="L419">
        <v>81</v>
      </c>
      <c r="M419">
        <v>1531</v>
      </c>
      <c r="N419">
        <v>19</v>
      </c>
    </row>
    <row r="420" spans="1:14" x14ac:dyDescent="0.35">
      <c r="A420" t="s">
        <v>505</v>
      </c>
      <c r="B420" t="s">
        <v>15</v>
      </c>
      <c r="C420" t="s">
        <v>95</v>
      </c>
      <c r="D420" t="s">
        <v>17</v>
      </c>
      <c r="E420" t="s">
        <v>273</v>
      </c>
      <c r="F420" t="s">
        <v>19</v>
      </c>
      <c r="G420">
        <v>2013</v>
      </c>
      <c r="H420">
        <v>8092</v>
      </c>
      <c r="I420">
        <v>7919</v>
      </c>
      <c r="J420">
        <v>177</v>
      </c>
      <c r="K420">
        <v>7804</v>
      </c>
      <c r="L420">
        <v>96</v>
      </c>
      <c r="M420">
        <v>288</v>
      </c>
      <c r="N420">
        <v>4</v>
      </c>
    </row>
    <row r="421" spans="1:14" x14ac:dyDescent="0.35">
      <c r="A421" t="s">
        <v>506</v>
      </c>
      <c r="B421" t="s">
        <v>15</v>
      </c>
      <c r="C421" t="s">
        <v>22</v>
      </c>
      <c r="D421" t="s">
        <v>17</v>
      </c>
      <c r="E421" t="s">
        <v>273</v>
      </c>
      <c r="F421" t="s">
        <v>19</v>
      </c>
      <c r="G421">
        <v>2007</v>
      </c>
      <c r="H421">
        <v>8065</v>
      </c>
      <c r="I421">
        <v>7162</v>
      </c>
      <c r="J421">
        <v>906</v>
      </c>
      <c r="K421">
        <v>4817</v>
      </c>
      <c r="L421">
        <v>60</v>
      </c>
      <c r="M421">
        <v>3248</v>
      </c>
      <c r="N421">
        <v>40</v>
      </c>
    </row>
    <row r="422" spans="1:14" x14ac:dyDescent="0.35">
      <c r="A422" t="s">
        <v>507</v>
      </c>
      <c r="B422" t="s">
        <v>15</v>
      </c>
      <c r="C422" t="s">
        <v>22</v>
      </c>
      <c r="D422" t="s">
        <v>25</v>
      </c>
      <c r="E422" t="s">
        <v>91</v>
      </c>
      <c r="F422" t="s">
        <v>49</v>
      </c>
      <c r="G422">
        <v>2020</v>
      </c>
      <c r="H422">
        <v>8063</v>
      </c>
      <c r="I422">
        <v>5540</v>
      </c>
      <c r="J422">
        <v>2525</v>
      </c>
      <c r="K422">
        <v>3610</v>
      </c>
      <c r="L422">
        <v>45</v>
      </c>
      <c r="M422">
        <v>4453</v>
      </c>
      <c r="N422">
        <v>55</v>
      </c>
    </row>
    <row r="423" spans="1:14" x14ac:dyDescent="0.35">
      <c r="A423" t="s">
        <v>508</v>
      </c>
      <c r="B423" t="s">
        <v>21</v>
      </c>
      <c r="C423" t="s">
        <v>46</v>
      </c>
      <c r="D423" t="s">
        <v>47</v>
      </c>
      <c r="E423" t="s">
        <v>48</v>
      </c>
      <c r="F423" t="s">
        <v>19</v>
      </c>
      <c r="G423">
        <v>2016</v>
      </c>
      <c r="H423">
        <v>8057</v>
      </c>
      <c r="I423">
        <v>4416</v>
      </c>
      <c r="J423">
        <v>3648</v>
      </c>
      <c r="K423">
        <v>3447</v>
      </c>
      <c r="L423">
        <v>43</v>
      </c>
      <c r="M423">
        <v>4610</v>
      </c>
      <c r="N423">
        <v>57</v>
      </c>
    </row>
    <row r="424" spans="1:14" x14ac:dyDescent="0.35">
      <c r="A424" t="s">
        <v>509</v>
      </c>
      <c r="B424" t="s">
        <v>15</v>
      </c>
      <c r="C424" t="s">
        <v>22</v>
      </c>
      <c r="D424" t="s">
        <v>17</v>
      </c>
      <c r="E424" t="s">
        <v>18</v>
      </c>
      <c r="F424" t="s">
        <v>19</v>
      </c>
      <c r="G424">
        <v>2011</v>
      </c>
      <c r="H424">
        <v>8044</v>
      </c>
      <c r="I424">
        <v>7679</v>
      </c>
      <c r="J424">
        <v>365</v>
      </c>
      <c r="K424">
        <v>6528</v>
      </c>
      <c r="L424">
        <v>81</v>
      </c>
      <c r="M424">
        <v>1516</v>
      </c>
      <c r="N424">
        <v>19</v>
      </c>
    </row>
    <row r="425" spans="1:14" x14ac:dyDescent="0.35">
      <c r="A425" t="s">
        <v>510</v>
      </c>
      <c r="B425" t="s">
        <v>15</v>
      </c>
      <c r="C425" t="s">
        <v>22</v>
      </c>
      <c r="D425" t="s">
        <v>17</v>
      </c>
      <c r="E425" t="s">
        <v>18</v>
      </c>
      <c r="F425" t="s">
        <v>49</v>
      </c>
      <c r="G425">
        <v>2013</v>
      </c>
      <c r="H425">
        <v>8030</v>
      </c>
      <c r="I425">
        <v>7270</v>
      </c>
      <c r="J425">
        <v>754</v>
      </c>
      <c r="K425">
        <v>4098</v>
      </c>
      <c r="L425">
        <v>51</v>
      </c>
      <c r="M425">
        <v>3932</v>
      </c>
      <c r="N425">
        <v>49</v>
      </c>
    </row>
    <row r="426" spans="1:14" x14ac:dyDescent="0.35">
      <c r="A426" t="s">
        <v>511</v>
      </c>
      <c r="B426" t="s">
        <v>21</v>
      </c>
      <c r="C426" t="s">
        <v>34</v>
      </c>
      <c r="D426" t="s">
        <v>17</v>
      </c>
      <c r="E426" t="s">
        <v>23</v>
      </c>
      <c r="F426" t="s">
        <v>19</v>
      </c>
      <c r="G426">
        <v>2014</v>
      </c>
      <c r="H426">
        <v>8020</v>
      </c>
      <c r="I426">
        <v>3097</v>
      </c>
      <c r="J426">
        <v>4923</v>
      </c>
      <c r="K426">
        <v>2755</v>
      </c>
      <c r="L426">
        <v>34</v>
      </c>
      <c r="M426">
        <v>5265</v>
      </c>
      <c r="N426">
        <v>66</v>
      </c>
    </row>
    <row r="427" spans="1:14" x14ac:dyDescent="0.35">
      <c r="A427" t="s">
        <v>512</v>
      </c>
      <c r="B427" t="s">
        <v>15</v>
      </c>
      <c r="C427" t="s">
        <v>34</v>
      </c>
      <c r="D427" t="s">
        <v>17</v>
      </c>
      <c r="E427" t="s">
        <v>52</v>
      </c>
      <c r="F427" t="s">
        <v>49</v>
      </c>
      <c r="G427">
        <v>1983</v>
      </c>
      <c r="H427">
        <v>8015</v>
      </c>
      <c r="I427">
        <v>8019</v>
      </c>
      <c r="J427">
        <v>0</v>
      </c>
      <c r="K427">
        <v>8015</v>
      </c>
      <c r="L427">
        <v>100</v>
      </c>
      <c r="M427">
        <v>0</v>
      </c>
      <c r="N427">
        <v>0</v>
      </c>
    </row>
    <row r="428" spans="1:14" x14ac:dyDescent="0.35">
      <c r="A428" t="s">
        <v>513</v>
      </c>
      <c r="B428" t="s">
        <v>15</v>
      </c>
      <c r="C428" t="s">
        <v>22</v>
      </c>
      <c r="D428" t="s">
        <v>17</v>
      </c>
      <c r="E428" t="s">
        <v>52</v>
      </c>
      <c r="F428" t="s">
        <v>49</v>
      </c>
      <c r="G428">
        <v>1972</v>
      </c>
      <c r="H428">
        <v>7987</v>
      </c>
      <c r="I428">
        <v>7991</v>
      </c>
      <c r="J428">
        <v>0</v>
      </c>
      <c r="K428">
        <v>7987</v>
      </c>
      <c r="L428">
        <v>100</v>
      </c>
      <c r="M428">
        <v>0</v>
      </c>
      <c r="N428">
        <v>0</v>
      </c>
    </row>
    <row r="429" spans="1:14" x14ac:dyDescent="0.35">
      <c r="A429" t="s">
        <v>514</v>
      </c>
      <c r="B429" t="s">
        <v>15</v>
      </c>
      <c r="C429" t="s">
        <v>34</v>
      </c>
      <c r="D429" t="s">
        <v>17</v>
      </c>
      <c r="E429" t="s">
        <v>52</v>
      </c>
      <c r="F429" t="s">
        <v>49</v>
      </c>
      <c r="G429">
        <v>1977</v>
      </c>
      <c r="H429">
        <v>7977</v>
      </c>
      <c r="I429">
        <v>7980</v>
      </c>
      <c r="J429">
        <v>1</v>
      </c>
      <c r="K429">
        <v>7960</v>
      </c>
      <c r="L429">
        <v>100</v>
      </c>
      <c r="M429">
        <v>16</v>
      </c>
      <c r="N429">
        <v>0</v>
      </c>
    </row>
    <row r="430" spans="1:14" x14ac:dyDescent="0.35">
      <c r="A430" t="s">
        <v>515</v>
      </c>
      <c r="B430" t="s">
        <v>15</v>
      </c>
      <c r="C430" t="s">
        <v>34</v>
      </c>
      <c r="D430" t="s">
        <v>17</v>
      </c>
      <c r="E430" t="s">
        <v>23</v>
      </c>
      <c r="F430" t="s">
        <v>19</v>
      </c>
      <c r="G430">
        <v>1981</v>
      </c>
      <c r="H430">
        <v>7940</v>
      </c>
      <c r="I430">
        <v>7943</v>
      </c>
      <c r="J430">
        <v>0</v>
      </c>
      <c r="K430">
        <v>7117</v>
      </c>
      <c r="L430">
        <v>90</v>
      </c>
      <c r="M430">
        <v>824</v>
      </c>
      <c r="N430">
        <v>10</v>
      </c>
    </row>
    <row r="431" spans="1:14" x14ac:dyDescent="0.35">
      <c r="A431" t="s">
        <v>516</v>
      </c>
      <c r="B431" t="s">
        <v>15</v>
      </c>
      <c r="C431" t="s">
        <v>22</v>
      </c>
      <c r="D431" t="s">
        <v>17</v>
      </c>
      <c r="E431" t="s">
        <v>52</v>
      </c>
      <c r="F431" t="s">
        <v>49</v>
      </c>
      <c r="G431">
        <v>2001</v>
      </c>
      <c r="H431">
        <v>7935</v>
      </c>
      <c r="I431">
        <v>4642</v>
      </c>
      <c r="J431">
        <v>3299</v>
      </c>
      <c r="K431">
        <v>7902</v>
      </c>
      <c r="L431">
        <v>100</v>
      </c>
      <c r="M431">
        <v>33</v>
      </c>
      <c r="N431">
        <v>0</v>
      </c>
    </row>
    <row r="432" spans="1:14" x14ac:dyDescent="0.35">
      <c r="A432" t="s">
        <v>517</v>
      </c>
      <c r="B432" t="s">
        <v>15</v>
      </c>
      <c r="C432" t="s">
        <v>518</v>
      </c>
      <c r="D432" t="s">
        <v>519</v>
      </c>
      <c r="E432" t="s">
        <v>23</v>
      </c>
      <c r="F432" t="s">
        <v>19</v>
      </c>
      <c r="G432">
        <v>2002</v>
      </c>
      <c r="H432">
        <v>7934</v>
      </c>
      <c r="I432">
        <v>2023</v>
      </c>
      <c r="J432">
        <v>5906</v>
      </c>
      <c r="K432">
        <v>723</v>
      </c>
      <c r="L432">
        <v>9</v>
      </c>
      <c r="M432">
        <v>7212</v>
      </c>
      <c r="N432">
        <v>91</v>
      </c>
    </row>
    <row r="433" spans="1:14" x14ac:dyDescent="0.35">
      <c r="A433" t="s">
        <v>520</v>
      </c>
      <c r="B433" t="s">
        <v>15</v>
      </c>
      <c r="C433" t="s">
        <v>43</v>
      </c>
      <c r="D433" t="s">
        <v>25</v>
      </c>
      <c r="E433" t="s">
        <v>26</v>
      </c>
      <c r="F433" t="s">
        <v>19</v>
      </c>
      <c r="G433">
        <v>2016</v>
      </c>
      <c r="H433">
        <v>7922</v>
      </c>
      <c r="I433">
        <v>7400</v>
      </c>
      <c r="J433">
        <v>508</v>
      </c>
      <c r="K433">
        <v>8</v>
      </c>
      <c r="L433">
        <v>0</v>
      </c>
      <c r="M433">
        <v>7914</v>
      </c>
      <c r="N433">
        <v>100</v>
      </c>
    </row>
    <row r="434" spans="1:14" x14ac:dyDescent="0.35">
      <c r="A434" t="s">
        <v>521</v>
      </c>
      <c r="B434" t="s">
        <v>21</v>
      </c>
      <c r="C434" t="s">
        <v>34</v>
      </c>
      <c r="D434" t="s">
        <v>17</v>
      </c>
      <c r="E434" t="s">
        <v>456</v>
      </c>
      <c r="F434" t="s">
        <v>19</v>
      </c>
      <c r="G434">
        <v>2018</v>
      </c>
      <c r="H434">
        <v>7893</v>
      </c>
      <c r="I434">
        <v>7896</v>
      </c>
      <c r="J434">
        <v>0</v>
      </c>
      <c r="K434">
        <v>7164</v>
      </c>
      <c r="L434">
        <v>91</v>
      </c>
      <c r="M434">
        <v>728</v>
      </c>
      <c r="N434">
        <v>9</v>
      </c>
    </row>
    <row r="435" spans="1:14" x14ac:dyDescent="0.35">
      <c r="A435" t="s">
        <v>522</v>
      </c>
      <c r="B435" t="s">
        <v>15</v>
      </c>
      <c r="C435" t="s">
        <v>34</v>
      </c>
      <c r="D435" t="s">
        <v>17</v>
      </c>
      <c r="E435" t="s">
        <v>52</v>
      </c>
      <c r="F435" t="s">
        <v>49</v>
      </c>
      <c r="G435">
        <v>1978</v>
      </c>
      <c r="H435">
        <v>7891</v>
      </c>
      <c r="I435">
        <v>7596</v>
      </c>
      <c r="J435">
        <v>299</v>
      </c>
      <c r="K435">
        <v>7891</v>
      </c>
      <c r="L435">
        <v>100</v>
      </c>
      <c r="M435">
        <v>0</v>
      </c>
      <c r="N435">
        <v>0</v>
      </c>
    </row>
    <row r="436" spans="1:14" x14ac:dyDescent="0.35">
      <c r="A436" t="s">
        <v>523</v>
      </c>
      <c r="B436" t="s">
        <v>21</v>
      </c>
      <c r="C436" t="s">
        <v>46</v>
      </c>
      <c r="D436" t="s">
        <v>47</v>
      </c>
      <c r="E436" t="s">
        <v>48</v>
      </c>
      <c r="F436" t="s">
        <v>49</v>
      </c>
      <c r="G436">
        <v>2022</v>
      </c>
      <c r="H436">
        <v>7887</v>
      </c>
      <c r="I436">
        <v>7881</v>
      </c>
      <c r="J436">
        <v>5</v>
      </c>
      <c r="K436">
        <v>7566</v>
      </c>
      <c r="L436">
        <v>96</v>
      </c>
      <c r="M436">
        <v>321</v>
      </c>
      <c r="N436">
        <v>4</v>
      </c>
    </row>
    <row r="437" spans="1:14" x14ac:dyDescent="0.35">
      <c r="A437" t="s">
        <v>524</v>
      </c>
      <c r="B437" t="s">
        <v>15</v>
      </c>
      <c r="C437" t="s">
        <v>22</v>
      </c>
      <c r="D437" t="s">
        <v>17</v>
      </c>
      <c r="E437" t="s">
        <v>292</v>
      </c>
      <c r="F437" t="s">
        <v>49</v>
      </c>
      <c r="G437">
        <v>2001</v>
      </c>
      <c r="H437">
        <v>7872</v>
      </c>
      <c r="I437">
        <v>7152</v>
      </c>
      <c r="J437">
        <v>707</v>
      </c>
      <c r="K437">
        <v>7858</v>
      </c>
      <c r="L437">
        <v>100</v>
      </c>
      <c r="M437">
        <v>14</v>
      </c>
      <c r="N437">
        <v>0</v>
      </c>
    </row>
    <row r="438" spans="1:14" x14ac:dyDescent="0.35">
      <c r="A438" t="s">
        <v>525</v>
      </c>
      <c r="B438" t="s">
        <v>15</v>
      </c>
      <c r="C438" t="s">
        <v>526</v>
      </c>
      <c r="D438" t="s">
        <v>25</v>
      </c>
      <c r="E438" t="s">
        <v>83</v>
      </c>
      <c r="F438" t="s">
        <v>19</v>
      </c>
      <c r="G438">
        <v>1985</v>
      </c>
      <c r="H438">
        <v>7852</v>
      </c>
      <c r="I438">
        <v>7854</v>
      </c>
      <c r="J438">
        <v>4</v>
      </c>
      <c r="K438">
        <v>7062</v>
      </c>
      <c r="L438">
        <v>90</v>
      </c>
      <c r="M438">
        <v>790</v>
      </c>
      <c r="N438">
        <v>10</v>
      </c>
    </row>
    <row r="439" spans="1:14" x14ac:dyDescent="0.35">
      <c r="A439" t="s">
        <v>527</v>
      </c>
      <c r="B439" t="s">
        <v>79</v>
      </c>
      <c r="C439" t="s">
        <v>90</v>
      </c>
      <c r="D439" t="s">
        <v>25</v>
      </c>
      <c r="E439" t="s">
        <v>83</v>
      </c>
      <c r="F439" t="s">
        <v>49</v>
      </c>
      <c r="G439">
        <v>1982</v>
      </c>
      <c r="H439">
        <v>7839</v>
      </c>
      <c r="I439">
        <v>7528</v>
      </c>
      <c r="J439">
        <v>311</v>
      </c>
      <c r="K439">
        <v>2830</v>
      </c>
      <c r="L439">
        <v>36</v>
      </c>
      <c r="M439">
        <v>5009</v>
      </c>
      <c r="N439">
        <v>64</v>
      </c>
    </row>
    <row r="440" spans="1:14" x14ac:dyDescent="0.35">
      <c r="A440" t="s">
        <v>528</v>
      </c>
      <c r="B440" t="s">
        <v>15</v>
      </c>
      <c r="C440" t="s">
        <v>34</v>
      </c>
      <c r="D440" t="s">
        <v>17</v>
      </c>
      <c r="E440" t="s">
        <v>23</v>
      </c>
      <c r="F440" t="s">
        <v>19</v>
      </c>
      <c r="G440">
        <v>2015</v>
      </c>
      <c r="H440">
        <v>7824</v>
      </c>
      <c r="I440">
        <v>6896</v>
      </c>
      <c r="J440">
        <v>928</v>
      </c>
      <c r="K440">
        <v>6188</v>
      </c>
      <c r="L440">
        <v>79</v>
      </c>
      <c r="M440">
        <v>1636</v>
      </c>
      <c r="N440">
        <v>21</v>
      </c>
    </row>
    <row r="441" spans="1:14" x14ac:dyDescent="0.35">
      <c r="A441" t="s">
        <v>529</v>
      </c>
      <c r="B441" t="s">
        <v>15</v>
      </c>
      <c r="C441" t="s">
        <v>22</v>
      </c>
      <c r="D441" t="s">
        <v>17</v>
      </c>
      <c r="E441" t="s">
        <v>18</v>
      </c>
      <c r="F441" t="s">
        <v>19</v>
      </c>
      <c r="G441">
        <v>2008</v>
      </c>
      <c r="H441">
        <v>7817</v>
      </c>
      <c r="I441">
        <v>4590</v>
      </c>
      <c r="J441">
        <v>3227</v>
      </c>
      <c r="K441">
        <v>1655</v>
      </c>
      <c r="L441">
        <v>21</v>
      </c>
      <c r="M441">
        <v>6162</v>
      </c>
      <c r="N441">
        <v>79</v>
      </c>
    </row>
    <row r="442" spans="1:14" x14ac:dyDescent="0.35">
      <c r="A442" t="s">
        <v>530</v>
      </c>
      <c r="B442" t="s">
        <v>15</v>
      </c>
      <c r="C442" t="s">
        <v>22</v>
      </c>
      <c r="D442" t="s">
        <v>17</v>
      </c>
      <c r="E442" t="s">
        <v>28</v>
      </c>
      <c r="F442" t="s">
        <v>19</v>
      </c>
      <c r="G442">
        <v>2016</v>
      </c>
      <c r="H442">
        <v>7810</v>
      </c>
      <c r="I442">
        <v>3575</v>
      </c>
      <c r="J442">
        <v>4235</v>
      </c>
      <c r="K442">
        <v>2342</v>
      </c>
      <c r="L442">
        <v>30</v>
      </c>
      <c r="M442">
        <v>5468</v>
      </c>
      <c r="N442">
        <v>70</v>
      </c>
    </row>
    <row r="443" spans="1:14" x14ac:dyDescent="0.35">
      <c r="A443" t="s">
        <v>531</v>
      </c>
      <c r="B443" t="s">
        <v>15</v>
      </c>
      <c r="C443" t="s">
        <v>34</v>
      </c>
      <c r="D443" t="s">
        <v>17</v>
      </c>
      <c r="E443" t="s">
        <v>61</v>
      </c>
      <c r="F443" t="s">
        <v>49</v>
      </c>
      <c r="G443">
        <v>2010</v>
      </c>
      <c r="H443">
        <v>7788</v>
      </c>
      <c r="I443">
        <v>5989</v>
      </c>
      <c r="J443">
        <v>1802</v>
      </c>
      <c r="K443">
        <v>801</v>
      </c>
      <c r="L443">
        <v>10</v>
      </c>
      <c r="M443">
        <v>6987</v>
      </c>
      <c r="N443">
        <v>90</v>
      </c>
    </row>
    <row r="444" spans="1:14" x14ac:dyDescent="0.35">
      <c r="A444" t="s">
        <v>532</v>
      </c>
      <c r="B444" t="s">
        <v>15</v>
      </c>
      <c r="C444" t="s">
        <v>22</v>
      </c>
      <c r="D444" t="s">
        <v>25</v>
      </c>
      <c r="E444" t="s">
        <v>26</v>
      </c>
      <c r="F444" t="s">
        <v>19</v>
      </c>
      <c r="G444">
        <v>2014</v>
      </c>
      <c r="H444">
        <v>7785</v>
      </c>
      <c r="I444">
        <v>2720</v>
      </c>
      <c r="J444">
        <v>5065</v>
      </c>
      <c r="K444">
        <v>69</v>
      </c>
      <c r="L444">
        <v>1</v>
      </c>
      <c r="M444">
        <v>7716</v>
      </c>
      <c r="N444">
        <v>99</v>
      </c>
    </row>
    <row r="445" spans="1:14" x14ac:dyDescent="0.35">
      <c r="A445" t="s">
        <v>533</v>
      </c>
      <c r="B445" t="s">
        <v>15</v>
      </c>
      <c r="C445" t="s">
        <v>148</v>
      </c>
      <c r="D445" t="s">
        <v>17</v>
      </c>
      <c r="E445" t="s">
        <v>61</v>
      </c>
      <c r="F445" t="s">
        <v>19</v>
      </c>
      <c r="G445">
        <v>2010</v>
      </c>
      <c r="H445">
        <v>7766</v>
      </c>
      <c r="I445">
        <v>4434</v>
      </c>
      <c r="J445">
        <v>3332</v>
      </c>
      <c r="K445">
        <v>781</v>
      </c>
      <c r="L445">
        <v>10</v>
      </c>
      <c r="M445">
        <v>6985</v>
      </c>
      <c r="N445">
        <v>90</v>
      </c>
    </row>
    <row r="446" spans="1:14" x14ac:dyDescent="0.35">
      <c r="A446" t="s">
        <v>534</v>
      </c>
      <c r="B446" t="s">
        <v>15</v>
      </c>
      <c r="C446" t="s">
        <v>535</v>
      </c>
      <c r="D446" t="s">
        <v>130</v>
      </c>
      <c r="E446" t="s">
        <v>18</v>
      </c>
      <c r="F446" t="s">
        <v>19</v>
      </c>
      <c r="G446">
        <v>2006</v>
      </c>
      <c r="H446">
        <v>7738</v>
      </c>
      <c r="I446">
        <v>3471</v>
      </c>
      <c r="J446">
        <v>4268</v>
      </c>
      <c r="K446">
        <v>1580</v>
      </c>
      <c r="L446">
        <v>20</v>
      </c>
      <c r="M446">
        <v>6158</v>
      </c>
      <c r="N446">
        <v>80</v>
      </c>
    </row>
    <row r="447" spans="1:14" x14ac:dyDescent="0.35">
      <c r="A447" t="s">
        <v>536</v>
      </c>
      <c r="B447" t="s">
        <v>15</v>
      </c>
      <c r="C447" t="s">
        <v>22</v>
      </c>
      <c r="D447" t="s">
        <v>17</v>
      </c>
      <c r="E447" t="s">
        <v>18</v>
      </c>
      <c r="F447" t="s">
        <v>19</v>
      </c>
      <c r="G447">
        <v>2000</v>
      </c>
      <c r="H447">
        <v>7730</v>
      </c>
      <c r="I447">
        <v>6446</v>
      </c>
      <c r="J447">
        <v>1288</v>
      </c>
      <c r="K447">
        <v>2355</v>
      </c>
      <c r="L447">
        <v>30</v>
      </c>
      <c r="M447">
        <v>5374</v>
      </c>
      <c r="N447">
        <v>70</v>
      </c>
    </row>
    <row r="448" spans="1:14" x14ac:dyDescent="0.35">
      <c r="A448" t="s">
        <v>537</v>
      </c>
      <c r="B448" t="s">
        <v>15</v>
      </c>
      <c r="C448" t="s">
        <v>34</v>
      </c>
      <c r="D448" t="s">
        <v>17</v>
      </c>
      <c r="E448" t="s">
        <v>52</v>
      </c>
      <c r="F448" t="s">
        <v>49</v>
      </c>
      <c r="G448">
        <v>2009</v>
      </c>
      <c r="H448">
        <v>7714</v>
      </c>
      <c r="I448">
        <v>7714</v>
      </c>
      <c r="J448">
        <v>0</v>
      </c>
      <c r="K448">
        <v>7201</v>
      </c>
      <c r="L448">
        <v>93</v>
      </c>
      <c r="M448">
        <v>513</v>
      </c>
      <c r="N448">
        <v>7</v>
      </c>
    </row>
    <row r="449" spans="1:14" x14ac:dyDescent="0.35">
      <c r="A449" t="s">
        <v>538</v>
      </c>
      <c r="B449" t="s">
        <v>15</v>
      </c>
      <c r="C449" t="s">
        <v>72</v>
      </c>
      <c r="D449" t="s">
        <v>73</v>
      </c>
      <c r="E449" t="s">
        <v>23</v>
      </c>
      <c r="F449" t="s">
        <v>19</v>
      </c>
      <c r="G449">
        <v>1999</v>
      </c>
      <c r="H449">
        <v>7690</v>
      </c>
      <c r="I449">
        <v>107</v>
      </c>
      <c r="J449">
        <v>7599</v>
      </c>
      <c r="K449">
        <v>0</v>
      </c>
      <c r="L449">
        <v>0</v>
      </c>
      <c r="M449">
        <v>7690</v>
      </c>
      <c r="N449">
        <v>100</v>
      </c>
    </row>
    <row r="450" spans="1:14" x14ac:dyDescent="0.35">
      <c r="A450" t="s">
        <v>539</v>
      </c>
      <c r="B450" t="s">
        <v>15</v>
      </c>
      <c r="C450" t="s">
        <v>22</v>
      </c>
      <c r="D450" t="s">
        <v>17</v>
      </c>
      <c r="E450" t="s">
        <v>52</v>
      </c>
      <c r="F450" t="s">
        <v>49</v>
      </c>
      <c r="G450">
        <v>1991</v>
      </c>
      <c r="H450">
        <v>7673</v>
      </c>
      <c r="I450">
        <v>7673</v>
      </c>
      <c r="J450">
        <v>0</v>
      </c>
      <c r="K450">
        <v>7659</v>
      </c>
      <c r="L450">
        <v>100</v>
      </c>
      <c r="M450">
        <v>14</v>
      </c>
      <c r="N450">
        <v>0</v>
      </c>
    </row>
    <row r="451" spans="1:14" x14ac:dyDescent="0.35">
      <c r="A451" t="s">
        <v>540</v>
      </c>
      <c r="B451" t="s">
        <v>15</v>
      </c>
      <c r="C451" t="s">
        <v>22</v>
      </c>
      <c r="D451" t="s">
        <v>25</v>
      </c>
      <c r="E451" t="s">
        <v>26</v>
      </c>
      <c r="F451" t="s">
        <v>19</v>
      </c>
      <c r="G451">
        <v>2004</v>
      </c>
      <c r="H451">
        <v>7662</v>
      </c>
      <c r="I451">
        <v>1714</v>
      </c>
      <c r="J451">
        <v>5948</v>
      </c>
      <c r="K451">
        <v>561</v>
      </c>
      <c r="L451">
        <v>7</v>
      </c>
      <c r="M451">
        <v>7101</v>
      </c>
      <c r="N451">
        <v>93</v>
      </c>
    </row>
    <row r="452" spans="1:14" x14ac:dyDescent="0.35">
      <c r="A452" t="s">
        <v>541</v>
      </c>
      <c r="B452" t="s">
        <v>15</v>
      </c>
      <c r="C452" t="s">
        <v>43</v>
      </c>
      <c r="D452" t="s">
        <v>25</v>
      </c>
      <c r="E452" t="s">
        <v>26</v>
      </c>
      <c r="F452" t="s">
        <v>19</v>
      </c>
      <c r="G452">
        <v>2017</v>
      </c>
      <c r="H452">
        <v>7645</v>
      </c>
      <c r="I452">
        <v>4204</v>
      </c>
      <c r="J452">
        <v>3448</v>
      </c>
      <c r="K452">
        <v>1810</v>
      </c>
      <c r="L452">
        <v>24</v>
      </c>
      <c r="M452">
        <v>5836</v>
      </c>
      <c r="N452">
        <v>76</v>
      </c>
    </row>
    <row r="453" spans="1:14" x14ac:dyDescent="0.35">
      <c r="A453" t="s">
        <v>542</v>
      </c>
      <c r="B453" t="s">
        <v>21</v>
      </c>
      <c r="C453" t="s">
        <v>16</v>
      </c>
      <c r="D453" t="s">
        <v>17</v>
      </c>
      <c r="E453" t="s">
        <v>23</v>
      </c>
      <c r="F453" t="s">
        <v>19</v>
      </c>
      <c r="G453">
        <v>2000</v>
      </c>
      <c r="H453">
        <v>7628</v>
      </c>
      <c r="I453">
        <v>6658</v>
      </c>
      <c r="J453">
        <v>975</v>
      </c>
      <c r="K453">
        <v>3569</v>
      </c>
      <c r="L453">
        <v>47</v>
      </c>
      <c r="M453">
        <v>4059</v>
      </c>
      <c r="N453">
        <v>53</v>
      </c>
    </row>
    <row r="454" spans="1:14" x14ac:dyDescent="0.35">
      <c r="A454" t="s">
        <v>543</v>
      </c>
      <c r="B454" t="s">
        <v>15</v>
      </c>
      <c r="C454" t="s">
        <v>167</v>
      </c>
      <c r="D454" t="s">
        <v>168</v>
      </c>
      <c r="E454" t="s">
        <v>83</v>
      </c>
      <c r="F454" t="s">
        <v>19</v>
      </c>
      <c r="G454">
        <v>2003</v>
      </c>
      <c r="H454">
        <v>7619</v>
      </c>
      <c r="I454">
        <v>5258</v>
      </c>
      <c r="J454">
        <v>2361</v>
      </c>
      <c r="K454">
        <v>2908</v>
      </c>
      <c r="L454">
        <v>38</v>
      </c>
      <c r="M454">
        <v>4710</v>
      </c>
      <c r="N454">
        <v>62</v>
      </c>
    </row>
    <row r="455" spans="1:14" x14ac:dyDescent="0.35">
      <c r="A455" t="s">
        <v>544</v>
      </c>
      <c r="B455" t="s">
        <v>15</v>
      </c>
      <c r="C455" t="s">
        <v>22</v>
      </c>
      <c r="D455" t="s">
        <v>17</v>
      </c>
      <c r="E455" t="s">
        <v>292</v>
      </c>
      <c r="F455" t="s">
        <v>49</v>
      </c>
      <c r="G455">
        <v>2000</v>
      </c>
      <c r="H455">
        <v>7612</v>
      </c>
      <c r="I455">
        <v>7615</v>
      </c>
      <c r="J455">
        <v>0</v>
      </c>
      <c r="K455">
        <v>6849</v>
      </c>
      <c r="L455">
        <v>90</v>
      </c>
      <c r="M455">
        <v>763</v>
      </c>
      <c r="N455">
        <v>10</v>
      </c>
    </row>
    <row r="456" spans="1:14" x14ac:dyDescent="0.35">
      <c r="A456" t="s">
        <v>545</v>
      </c>
      <c r="B456" t="s">
        <v>21</v>
      </c>
      <c r="C456" t="s">
        <v>22</v>
      </c>
      <c r="D456" t="s">
        <v>17</v>
      </c>
      <c r="E456" t="s">
        <v>28</v>
      </c>
      <c r="F456" t="s">
        <v>19</v>
      </c>
      <c r="G456">
        <v>2016</v>
      </c>
      <c r="H456">
        <v>7608</v>
      </c>
      <c r="I456">
        <v>3802</v>
      </c>
      <c r="J456">
        <v>3807</v>
      </c>
      <c r="K456">
        <v>2192</v>
      </c>
      <c r="L456">
        <v>29</v>
      </c>
      <c r="M456">
        <v>5416</v>
      </c>
      <c r="N456">
        <v>71</v>
      </c>
    </row>
    <row r="457" spans="1:14" x14ac:dyDescent="0.35">
      <c r="A457" t="s">
        <v>546</v>
      </c>
      <c r="B457" t="s">
        <v>21</v>
      </c>
      <c r="C457" t="s">
        <v>34</v>
      </c>
      <c r="D457" t="s">
        <v>17</v>
      </c>
      <c r="E457" t="s">
        <v>23</v>
      </c>
      <c r="F457" t="s">
        <v>19</v>
      </c>
      <c r="G457">
        <v>2012</v>
      </c>
      <c r="H457">
        <v>7597</v>
      </c>
      <c r="I457">
        <v>3576</v>
      </c>
      <c r="J457">
        <v>4021</v>
      </c>
      <c r="K457">
        <v>2786</v>
      </c>
      <c r="L457">
        <v>37</v>
      </c>
      <c r="M457">
        <v>4811</v>
      </c>
      <c r="N457">
        <v>63</v>
      </c>
    </row>
    <row r="458" spans="1:14" x14ac:dyDescent="0.35">
      <c r="A458" t="s">
        <v>547</v>
      </c>
      <c r="B458" t="s">
        <v>15</v>
      </c>
      <c r="C458" t="s">
        <v>22</v>
      </c>
      <c r="D458" t="s">
        <v>17</v>
      </c>
      <c r="E458" t="s">
        <v>18</v>
      </c>
      <c r="F458" t="s">
        <v>19</v>
      </c>
      <c r="G458">
        <v>2007</v>
      </c>
      <c r="H458">
        <v>7589</v>
      </c>
      <c r="I458">
        <v>6273</v>
      </c>
      <c r="J458">
        <v>1316</v>
      </c>
      <c r="K458">
        <v>5418</v>
      </c>
      <c r="L458">
        <v>71</v>
      </c>
      <c r="M458">
        <v>2171</v>
      </c>
      <c r="N458">
        <v>29</v>
      </c>
    </row>
    <row r="459" spans="1:14" x14ac:dyDescent="0.35">
      <c r="A459" t="s">
        <v>548</v>
      </c>
      <c r="B459" t="s">
        <v>21</v>
      </c>
      <c r="C459" t="s">
        <v>549</v>
      </c>
      <c r="D459" t="s">
        <v>17</v>
      </c>
      <c r="E459" t="s">
        <v>52</v>
      </c>
      <c r="F459" t="s">
        <v>19</v>
      </c>
      <c r="G459">
        <v>2017</v>
      </c>
      <c r="H459">
        <v>7553</v>
      </c>
      <c r="I459">
        <v>5418</v>
      </c>
      <c r="J459">
        <v>2144</v>
      </c>
      <c r="K459">
        <v>4710</v>
      </c>
      <c r="L459">
        <v>62</v>
      </c>
      <c r="M459">
        <v>2843</v>
      </c>
      <c r="N459">
        <v>38</v>
      </c>
    </row>
    <row r="460" spans="1:14" x14ac:dyDescent="0.35">
      <c r="A460" t="s">
        <v>550</v>
      </c>
      <c r="B460" t="s">
        <v>15</v>
      </c>
      <c r="C460" t="s">
        <v>72</v>
      </c>
      <c r="D460" t="s">
        <v>551</v>
      </c>
      <c r="E460" t="s">
        <v>18</v>
      </c>
      <c r="F460" t="s">
        <v>19</v>
      </c>
      <c r="G460">
        <v>2014</v>
      </c>
      <c r="H460">
        <v>7550</v>
      </c>
      <c r="I460">
        <v>6212</v>
      </c>
      <c r="J460">
        <v>1335</v>
      </c>
      <c r="K460">
        <v>1537</v>
      </c>
      <c r="L460">
        <v>20</v>
      </c>
      <c r="M460">
        <v>6013</v>
      </c>
      <c r="N460">
        <v>80</v>
      </c>
    </row>
    <row r="461" spans="1:14" x14ac:dyDescent="0.35">
      <c r="A461" t="s">
        <v>552</v>
      </c>
      <c r="B461" t="s">
        <v>21</v>
      </c>
      <c r="C461" t="s">
        <v>16</v>
      </c>
      <c r="D461" t="s">
        <v>258</v>
      </c>
      <c r="E461" t="s">
        <v>23</v>
      </c>
      <c r="F461" t="s">
        <v>19</v>
      </c>
      <c r="G461">
        <v>1981</v>
      </c>
      <c r="H461">
        <v>7543</v>
      </c>
      <c r="I461">
        <v>7093</v>
      </c>
      <c r="J461">
        <v>450</v>
      </c>
      <c r="K461">
        <v>6269</v>
      </c>
      <c r="L461">
        <v>83</v>
      </c>
      <c r="M461">
        <v>1274</v>
      </c>
      <c r="N461">
        <v>17</v>
      </c>
    </row>
    <row r="462" spans="1:14" x14ac:dyDescent="0.35">
      <c r="A462" t="s">
        <v>553</v>
      </c>
      <c r="B462" t="s">
        <v>15</v>
      </c>
      <c r="C462" t="s">
        <v>16</v>
      </c>
      <c r="D462" t="s">
        <v>17</v>
      </c>
      <c r="E462" t="s">
        <v>52</v>
      </c>
      <c r="F462" t="s">
        <v>19</v>
      </c>
      <c r="G462">
        <v>1980</v>
      </c>
      <c r="H462">
        <v>7503</v>
      </c>
      <c r="I462">
        <v>5958</v>
      </c>
      <c r="J462">
        <v>1568</v>
      </c>
      <c r="K462">
        <v>6593</v>
      </c>
      <c r="L462">
        <v>88</v>
      </c>
      <c r="M462">
        <v>910</v>
      </c>
      <c r="N462">
        <v>12</v>
      </c>
    </row>
    <row r="463" spans="1:14" x14ac:dyDescent="0.35">
      <c r="A463" t="s">
        <v>554</v>
      </c>
      <c r="B463" t="s">
        <v>15</v>
      </c>
      <c r="C463" t="s">
        <v>46</v>
      </c>
      <c r="D463" t="s">
        <v>47</v>
      </c>
      <c r="E463" t="s">
        <v>48</v>
      </c>
      <c r="F463" t="s">
        <v>49</v>
      </c>
      <c r="G463">
        <v>2020</v>
      </c>
      <c r="H463">
        <v>7486</v>
      </c>
      <c r="I463">
        <v>7179</v>
      </c>
      <c r="J463">
        <v>328</v>
      </c>
      <c r="K463">
        <v>7290</v>
      </c>
      <c r="L463">
        <v>97</v>
      </c>
      <c r="M463">
        <v>196</v>
      </c>
      <c r="N463">
        <v>3</v>
      </c>
    </row>
    <row r="464" spans="1:14" x14ac:dyDescent="0.35">
      <c r="A464" t="s">
        <v>555</v>
      </c>
      <c r="B464" t="s">
        <v>15</v>
      </c>
      <c r="C464" t="s">
        <v>22</v>
      </c>
      <c r="D464" t="s">
        <v>17</v>
      </c>
      <c r="E464" t="s">
        <v>58</v>
      </c>
      <c r="F464" t="s">
        <v>19</v>
      </c>
      <c r="G464">
        <v>2017</v>
      </c>
      <c r="H464">
        <v>7485</v>
      </c>
      <c r="I464">
        <v>6758</v>
      </c>
      <c r="J464">
        <v>736</v>
      </c>
      <c r="K464">
        <v>6206</v>
      </c>
      <c r="L464">
        <v>83</v>
      </c>
      <c r="M464">
        <v>1279</v>
      </c>
      <c r="N464">
        <v>17</v>
      </c>
    </row>
    <row r="465" spans="1:14" x14ac:dyDescent="0.35">
      <c r="A465" t="s">
        <v>556</v>
      </c>
      <c r="B465" t="s">
        <v>21</v>
      </c>
      <c r="C465" t="s">
        <v>167</v>
      </c>
      <c r="D465" t="s">
        <v>168</v>
      </c>
      <c r="E465" t="s">
        <v>169</v>
      </c>
      <c r="F465" t="s">
        <v>19</v>
      </c>
      <c r="G465">
        <v>2021</v>
      </c>
      <c r="H465">
        <v>7467</v>
      </c>
      <c r="I465">
        <v>7465</v>
      </c>
      <c r="J465">
        <v>26</v>
      </c>
      <c r="K465">
        <v>1331</v>
      </c>
      <c r="L465">
        <v>18</v>
      </c>
      <c r="M465">
        <v>6136</v>
      </c>
      <c r="N465">
        <v>82</v>
      </c>
    </row>
    <row r="466" spans="1:14" x14ac:dyDescent="0.35">
      <c r="A466" t="s">
        <v>557</v>
      </c>
      <c r="B466" t="s">
        <v>15</v>
      </c>
      <c r="C466" t="s">
        <v>22</v>
      </c>
      <c r="D466" t="s">
        <v>17</v>
      </c>
      <c r="E466" t="s">
        <v>23</v>
      </c>
      <c r="F466" t="s">
        <v>49</v>
      </c>
      <c r="G466">
        <v>2014</v>
      </c>
      <c r="H466">
        <v>7453</v>
      </c>
      <c r="I466">
        <v>2525</v>
      </c>
      <c r="J466">
        <v>4942</v>
      </c>
      <c r="K466">
        <v>6424</v>
      </c>
      <c r="L466">
        <v>86</v>
      </c>
      <c r="M466">
        <v>1029</v>
      </c>
      <c r="N466">
        <v>14</v>
      </c>
    </row>
    <row r="467" spans="1:14" x14ac:dyDescent="0.35">
      <c r="A467" t="s">
        <v>558</v>
      </c>
      <c r="B467" t="s">
        <v>15</v>
      </c>
      <c r="C467" t="s">
        <v>22</v>
      </c>
      <c r="D467" t="s">
        <v>17</v>
      </c>
      <c r="E467" t="s">
        <v>99</v>
      </c>
      <c r="F467" t="s">
        <v>19</v>
      </c>
      <c r="G467">
        <v>1955</v>
      </c>
      <c r="H467">
        <v>7451</v>
      </c>
      <c r="I467">
        <v>6492</v>
      </c>
      <c r="J467">
        <v>961</v>
      </c>
      <c r="K467">
        <v>5866</v>
      </c>
      <c r="L467">
        <v>79</v>
      </c>
      <c r="M467">
        <v>1584</v>
      </c>
      <c r="N467">
        <v>21</v>
      </c>
    </row>
    <row r="468" spans="1:14" x14ac:dyDescent="0.35">
      <c r="A468" t="s">
        <v>559</v>
      </c>
      <c r="B468" t="s">
        <v>15</v>
      </c>
      <c r="C468" t="s">
        <v>22</v>
      </c>
      <c r="D468" t="s">
        <v>17</v>
      </c>
      <c r="E468" t="s">
        <v>18</v>
      </c>
      <c r="F468" t="s">
        <v>19</v>
      </c>
      <c r="G468">
        <v>2007</v>
      </c>
      <c r="H468">
        <v>7432</v>
      </c>
      <c r="I468">
        <v>6392</v>
      </c>
      <c r="J468">
        <v>1059</v>
      </c>
      <c r="K468">
        <v>528</v>
      </c>
      <c r="L468">
        <v>7</v>
      </c>
      <c r="M468">
        <v>6904</v>
      </c>
      <c r="N468">
        <v>93</v>
      </c>
    </row>
    <row r="469" spans="1:14" x14ac:dyDescent="0.35">
      <c r="A469" t="s">
        <v>560</v>
      </c>
      <c r="B469" t="s">
        <v>15</v>
      </c>
      <c r="C469" t="s">
        <v>22</v>
      </c>
      <c r="D469" t="s">
        <v>17</v>
      </c>
      <c r="E469" t="s">
        <v>99</v>
      </c>
      <c r="F469" t="s">
        <v>19</v>
      </c>
      <c r="G469">
        <v>2005</v>
      </c>
      <c r="H469">
        <v>7424</v>
      </c>
      <c r="I469">
        <v>7117</v>
      </c>
      <c r="J469">
        <v>320</v>
      </c>
      <c r="K469">
        <v>6510</v>
      </c>
      <c r="L469">
        <v>88</v>
      </c>
      <c r="M469">
        <v>913</v>
      </c>
      <c r="N469">
        <v>12</v>
      </c>
    </row>
    <row r="470" spans="1:14" x14ac:dyDescent="0.35">
      <c r="A470" t="s">
        <v>561</v>
      </c>
      <c r="B470" t="s">
        <v>15</v>
      </c>
      <c r="C470" t="s">
        <v>167</v>
      </c>
      <c r="D470" t="s">
        <v>168</v>
      </c>
      <c r="E470" t="s">
        <v>169</v>
      </c>
      <c r="F470" t="s">
        <v>19</v>
      </c>
      <c r="G470">
        <v>2009</v>
      </c>
      <c r="H470">
        <v>7417</v>
      </c>
      <c r="I470">
        <v>4668</v>
      </c>
      <c r="J470">
        <v>2767</v>
      </c>
      <c r="K470">
        <v>4914</v>
      </c>
      <c r="L470">
        <v>66</v>
      </c>
      <c r="M470">
        <v>2503</v>
      </c>
      <c r="N470">
        <v>34</v>
      </c>
    </row>
    <row r="471" spans="1:14" x14ac:dyDescent="0.35">
      <c r="A471" t="s">
        <v>562</v>
      </c>
      <c r="B471" t="s">
        <v>15</v>
      </c>
      <c r="C471" t="s">
        <v>223</v>
      </c>
      <c r="D471" t="s">
        <v>25</v>
      </c>
      <c r="E471" t="s">
        <v>18</v>
      </c>
      <c r="F471" t="s">
        <v>19</v>
      </c>
      <c r="G471">
        <v>2017</v>
      </c>
      <c r="H471">
        <v>7406</v>
      </c>
      <c r="I471">
        <v>6405</v>
      </c>
      <c r="J471">
        <v>1014</v>
      </c>
      <c r="K471">
        <v>639</v>
      </c>
      <c r="L471">
        <v>9</v>
      </c>
      <c r="M471">
        <v>6766</v>
      </c>
      <c r="N471">
        <v>91</v>
      </c>
    </row>
    <row r="472" spans="1:14" x14ac:dyDescent="0.35">
      <c r="A472" t="s">
        <v>563</v>
      </c>
      <c r="B472" t="s">
        <v>21</v>
      </c>
      <c r="C472" t="s">
        <v>167</v>
      </c>
      <c r="D472" t="s">
        <v>168</v>
      </c>
      <c r="E472" t="s">
        <v>169</v>
      </c>
      <c r="F472" t="s">
        <v>49</v>
      </c>
      <c r="G472">
        <v>2013</v>
      </c>
      <c r="H472">
        <v>7388</v>
      </c>
      <c r="I472">
        <v>3472</v>
      </c>
      <c r="J472">
        <v>3934</v>
      </c>
      <c r="K472">
        <v>2318</v>
      </c>
      <c r="L472">
        <v>31</v>
      </c>
      <c r="M472">
        <v>5071</v>
      </c>
      <c r="N472">
        <v>69</v>
      </c>
    </row>
    <row r="473" spans="1:14" x14ac:dyDescent="0.35">
      <c r="A473" t="s">
        <v>564</v>
      </c>
      <c r="B473" t="s">
        <v>15</v>
      </c>
      <c r="C473" t="s">
        <v>167</v>
      </c>
      <c r="D473" t="s">
        <v>168</v>
      </c>
      <c r="E473" t="s">
        <v>83</v>
      </c>
      <c r="F473" t="s">
        <v>19</v>
      </c>
      <c r="G473">
        <v>2015</v>
      </c>
      <c r="H473">
        <v>7388</v>
      </c>
      <c r="I473">
        <v>2808</v>
      </c>
      <c r="J473">
        <v>4581</v>
      </c>
      <c r="K473">
        <v>360</v>
      </c>
      <c r="L473">
        <v>5</v>
      </c>
      <c r="M473">
        <v>7028</v>
      </c>
      <c r="N473">
        <v>95</v>
      </c>
    </row>
    <row r="474" spans="1:14" x14ac:dyDescent="0.35">
      <c r="A474" t="s">
        <v>565</v>
      </c>
      <c r="B474" t="s">
        <v>15</v>
      </c>
      <c r="C474" t="s">
        <v>223</v>
      </c>
      <c r="D474" t="s">
        <v>25</v>
      </c>
      <c r="E474" t="s">
        <v>18</v>
      </c>
      <c r="F474" t="s">
        <v>19</v>
      </c>
      <c r="G474">
        <v>2018</v>
      </c>
      <c r="H474">
        <v>7378</v>
      </c>
      <c r="I474">
        <v>4274</v>
      </c>
      <c r="J474">
        <v>3113</v>
      </c>
      <c r="K474">
        <v>716</v>
      </c>
      <c r="L474">
        <v>10</v>
      </c>
      <c r="M474">
        <v>6661</v>
      </c>
      <c r="N474">
        <v>90</v>
      </c>
    </row>
    <row r="475" spans="1:14" x14ac:dyDescent="0.35">
      <c r="A475" t="s">
        <v>566</v>
      </c>
      <c r="B475" t="s">
        <v>15</v>
      </c>
      <c r="C475" t="s">
        <v>34</v>
      </c>
      <c r="D475" t="s">
        <v>17</v>
      </c>
      <c r="E475" t="s">
        <v>23</v>
      </c>
      <c r="F475" t="s">
        <v>19</v>
      </c>
      <c r="G475">
        <v>2012</v>
      </c>
      <c r="H475">
        <v>7353</v>
      </c>
      <c r="I475">
        <v>3894</v>
      </c>
      <c r="J475">
        <v>3484</v>
      </c>
      <c r="K475">
        <v>6069</v>
      </c>
      <c r="L475">
        <v>83</v>
      </c>
      <c r="M475">
        <v>1283</v>
      </c>
      <c r="N475">
        <v>17</v>
      </c>
    </row>
    <row r="476" spans="1:14" x14ac:dyDescent="0.35">
      <c r="A476" t="s">
        <v>567</v>
      </c>
      <c r="B476" t="s">
        <v>79</v>
      </c>
      <c r="C476" t="s">
        <v>22</v>
      </c>
      <c r="D476" t="s">
        <v>17</v>
      </c>
      <c r="E476" t="s">
        <v>18</v>
      </c>
      <c r="F476" t="s">
        <v>49</v>
      </c>
      <c r="G476">
        <v>2009</v>
      </c>
      <c r="H476">
        <v>7348</v>
      </c>
      <c r="I476">
        <v>6712</v>
      </c>
      <c r="J476">
        <v>644</v>
      </c>
      <c r="K476">
        <v>115</v>
      </c>
      <c r="L476">
        <v>2</v>
      </c>
      <c r="M476">
        <v>7233</v>
      </c>
      <c r="N476">
        <v>98</v>
      </c>
    </row>
    <row r="477" spans="1:14" x14ac:dyDescent="0.35">
      <c r="A477" t="s">
        <v>568</v>
      </c>
      <c r="B477" t="s">
        <v>15</v>
      </c>
      <c r="C477" t="s">
        <v>22</v>
      </c>
      <c r="D477" t="s">
        <v>17</v>
      </c>
      <c r="E477" t="s">
        <v>99</v>
      </c>
      <c r="F477" t="s">
        <v>19</v>
      </c>
      <c r="G477">
        <v>2012</v>
      </c>
      <c r="H477">
        <v>7338</v>
      </c>
      <c r="I477">
        <v>3928</v>
      </c>
      <c r="J477">
        <v>3422</v>
      </c>
      <c r="K477">
        <v>5341</v>
      </c>
      <c r="L477">
        <v>73</v>
      </c>
      <c r="M477">
        <v>1997</v>
      </c>
      <c r="N477">
        <v>27</v>
      </c>
    </row>
    <row r="478" spans="1:14" x14ac:dyDescent="0.35">
      <c r="A478" t="s">
        <v>569</v>
      </c>
      <c r="B478" t="s">
        <v>21</v>
      </c>
      <c r="C478" t="s">
        <v>570</v>
      </c>
      <c r="D478" t="s">
        <v>17</v>
      </c>
      <c r="E478" t="s">
        <v>23</v>
      </c>
      <c r="F478" t="s">
        <v>19</v>
      </c>
      <c r="G478">
        <v>2006</v>
      </c>
      <c r="H478">
        <v>7335</v>
      </c>
      <c r="I478">
        <v>6736</v>
      </c>
      <c r="J478">
        <v>602</v>
      </c>
      <c r="K478">
        <v>1342</v>
      </c>
      <c r="L478">
        <v>18</v>
      </c>
      <c r="M478">
        <v>5993</v>
      </c>
      <c r="N478">
        <v>82</v>
      </c>
    </row>
    <row r="479" spans="1:14" x14ac:dyDescent="0.35">
      <c r="A479" t="s">
        <v>571</v>
      </c>
      <c r="B479" t="s">
        <v>15</v>
      </c>
      <c r="C479" t="s">
        <v>22</v>
      </c>
      <c r="D479" t="s">
        <v>17</v>
      </c>
      <c r="E479" t="s">
        <v>292</v>
      </c>
      <c r="F479" t="s">
        <v>49</v>
      </c>
      <c r="G479">
        <v>2007</v>
      </c>
      <c r="H479">
        <v>7327</v>
      </c>
      <c r="I479">
        <v>1671</v>
      </c>
      <c r="J479">
        <v>5664</v>
      </c>
      <c r="K479">
        <v>6817</v>
      </c>
      <c r="L479">
        <v>93</v>
      </c>
      <c r="M479">
        <v>510</v>
      </c>
      <c r="N479">
        <v>7</v>
      </c>
    </row>
    <row r="480" spans="1:14" x14ac:dyDescent="0.35">
      <c r="A480" t="s">
        <v>572</v>
      </c>
      <c r="B480" t="s">
        <v>15</v>
      </c>
      <c r="C480" t="s">
        <v>22</v>
      </c>
      <c r="D480" t="s">
        <v>17</v>
      </c>
      <c r="E480" t="s">
        <v>99</v>
      </c>
      <c r="F480" t="s">
        <v>19</v>
      </c>
      <c r="G480">
        <v>2014</v>
      </c>
      <c r="H480">
        <v>7313</v>
      </c>
      <c r="I480">
        <v>7318</v>
      </c>
      <c r="J480">
        <v>8</v>
      </c>
      <c r="K480">
        <v>2902</v>
      </c>
      <c r="L480">
        <v>40</v>
      </c>
      <c r="M480">
        <v>4412</v>
      </c>
      <c r="N480">
        <v>60</v>
      </c>
    </row>
    <row r="481" spans="1:14" x14ac:dyDescent="0.35">
      <c r="A481" t="s">
        <v>573</v>
      </c>
      <c r="B481" t="s">
        <v>21</v>
      </c>
      <c r="C481" t="s">
        <v>574</v>
      </c>
      <c r="D481" t="s">
        <v>17</v>
      </c>
      <c r="E481" t="s">
        <v>23</v>
      </c>
      <c r="F481" t="s">
        <v>19</v>
      </c>
      <c r="G481">
        <v>2020</v>
      </c>
      <c r="H481">
        <v>7287</v>
      </c>
      <c r="I481">
        <v>4704</v>
      </c>
      <c r="J481">
        <v>2610</v>
      </c>
      <c r="K481">
        <v>6083</v>
      </c>
      <c r="L481">
        <v>83</v>
      </c>
      <c r="M481">
        <v>1204</v>
      </c>
      <c r="N481">
        <v>17</v>
      </c>
    </row>
    <row r="482" spans="1:14" x14ac:dyDescent="0.35">
      <c r="A482" t="s">
        <v>575</v>
      </c>
      <c r="B482" t="s">
        <v>15</v>
      </c>
      <c r="C482" t="s">
        <v>167</v>
      </c>
      <c r="D482" t="s">
        <v>168</v>
      </c>
      <c r="E482" t="s">
        <v>83</v>
      </c>
      <c r="F482" t="s">
        <v>49</v>
      </c>
      <c r="G482">
        <v>2016</v>
      </c>
      <c r="H482">
        <v>7278</v>
      </c>
      <c r="I482">
        <v>6837</v>
      </c>
      <c r="J482">
        <v>456</v>
      </c>
      <c r="K482">
        <v>3003</v>
      </c>
      <c r="L482">
        <v>41</v>
      </c>
      <c r="M482">
        <v>4275</v>
      </c>
      <c r="N482">
        <v>59</v>
      </c>
    </row>
    <row r="483" spans="1:14" x14ac:dyDescent="0.35">
      <c r="A483" t="s">
        <v>576</v>
      </c>
      <c r="B483" t="s">
        <v>21</v>
      </c>
      <c r="C483" t="s">
        <v>223</v>
      </c>
      <c r="D483" t="s">
        <v>25</v>
      </c>
      <c r="E483" t="s">
        <v>83</v>
      </c>
      <c r="F483" t="s">
        <v>19</v>
      </c>
      <c r="G483">
        <v>2019</v>
      </c>
      <c r="H483">
        <v>7256</v>
      </c>
      <c r="I483">
        <v>2470</v>
      </c>
      <c r="J483">
        <v>4786</v>
      </c>
      <c r="K483">
        <v>976</v>
      </c>
      <c r="L483">
        <v>13</v>
      </c>
      <c r="M483">
        <v>6280</v>
      </c>
      <c r="N483">
        <v>87</v>
      </c>
    </row>
    <row r="484" spans="1:14" x14ac:dyDescent="0.35">
      <c r="A484" t="s">
        <v>577</v>
      </c>
      <c r="B484" t="s">
        <v>15</v>
      </c>
      <c r="C484" t="s">
        <v>22</v>
      </c>
      <c r="D484" t="s">
        <v>17</v>
      </c>
      <c r="E484" t="s">
        <v>18</v>
      </c>
      <c r="F484" t="s">
        <v>19</v>
      </c>
      <c r="G484">
        <v>2012</v>
      </c>
      <c r="H484">
        <v>7252</v>
      </c>
      <c r="I484">
        <v>4584</v>
      </c>
      <c r="J484">
        <v>2668</v>
      </c>
      <c r="K484">
        <v>2499</v>
      </c>
      <c r="L484">
        <v>34</v>
      </c>
      <c r="M484">
        <v>4753</v>
      </c>
      <c r="N484">
        <v>66</v>
      </c>
    </row>
    <row r="485" spans="1:14" x14ac:dyDescent="0.35">
      <c r="A485" t="s">
        <v>578</v>
      </c>
      <c r="B485" t="s">
        <v>21</v>
      </c>
      <c r="C485" t="s">
        <v>408</v>
      </c>
      <c r="D485" t="s">
        <v>409</v>
      </c>
      <c r="E485" t="s">
        <v>23</v>
      </c>
      <c r="F485" t="s">
        <v>19</v>
      </c>
      <c r="G485">
        <v>1997</v>
      </c>
      <c r="H485">
        <v>7240</v>
      </c>
      <c r="I485">
        <v>0</v>
      </c>
      <c r="J485">
        <v>7240</v>
      </c>
      <c r="K485">
        <v>0</v>
      </c>
      <c r="L485">
        <v>0</v>
      </c>
      <c r="M485">
        <v>7240</v>
      </c>
      <c r="N485">
        <v>100</v>
      </c>
    </row>
    <row r="486" spans="1:14" x14ac:dyDescent="0.35">
      <c r="A486" t="s">
        <v>579</v>
      </c>
      <c r="B486" t="s">
        <v>15</v>
      </c>
      <c r="C486" t="s">
        <v>22</v>
      </c>
      <c r="D486" t="s">
        <v>17</v>
      </c>
      <c r="E486" t="s">
        <v>18</v>
      </c>
      <c r="F486" t="s">
        <v>19</v>
      </c>
      <c r="G486">
        <v>2008</v>
      </c>
      <c r="H486">
        <v>7238</v>
      </c>
      <c r="I486">
        <v>0</v>
      </c>
      <c r="J486">
        <v>7238</v>
      </c>
      <c r="K486">
        <v>0</v>
      </c>
      <c r="L486">
        <v>0</v>
      </c>
      <c r="M486">
        <v>7238</v>
      </c>
      <c r="N486">
        <v>100</v>
      </c>
    </row>
    <row r="487" spans="1:14" x14ac:dyDescent="0.35">
      <c r="A487" t="s">
        <v>580</v>
      </c>
      <c r="B487" t="s">
        <v>15</v>
      </c>
      <c r="C487" t="s">
        <v>243</v>
      </c>
      <c r="D487" t="s">
        <v>25</v>
      </c>
      <c r="E487" t="s">
        <v>18</v>
      </c>
      <c r="F487" t="s">
        <v>19</v>
      </c>
      <c r="G487">
        <v>2018</v>
      </c>
      <c r="H487">
        <v>7210</v>
      </c>
      <c r="I487">
        <v>3304</v>
      </c>
      <c r="J487">
        <v>3906</v>
      </c>
      <c r="K487">
        <v>2184</v>
      </c>
      <c r="L487">
        <v>30</v>
      </c>
      <c r="M487">
        <v>5026</v>
      </c>
      <c r="N487">
        <v>70</v>
      </c>
    </row>
    <row r="488" spans="1:14" x14ac:dyDescent="0.35">
      <c r="A488" t="s">
        <v>581</v>
      </c>
      <c r="B488" t="s">
        <v>15</v>
      </c>
      <c r="C488" t="s">
        <v>34</v>
      </c>
      <c r="D488" t="s">
        <v>17</v>
      </c>
      <c r="E488" t="s">
        <v>23</v>
      </c>
      <c r="F488" t="s">
        <v>19</v>
      </c>
      <c r="G488">
        <v>2016</v>
      </c>
      <c r="H488">
        <v>7193</v>
      </c>
      <c r="I488">
        <v>4689</v>
      </c>
      <c r="J488">
        <v>2505</v>
      </c>
      <c r="K488">
        <v>3982</v>
      </c>
      <c r="L488">
        <v>55</v>
      </c>
      <c r="M488">
        <v>3210</v>
      </c>
      <c r="N488">
        <v>45</v>
      </c>
    </row>
    <row r="489" spans="1:14" x14ac:dyDescent="0.35">
      <c r="A489" t="s">
        <v>582</v>
      </c>
      <c r="B489" t="s">
        <v>15</v>
      </c>
      <c r="C489" t="s">
        <v>46</v>
      </c>
      <c r="D489" t="s">
        <v>47</v>
      </c>
      <c r="E489" t="s">
        <v>48</v>
      </c>
      <c r="F489" t="s">
        <v>49</v>
      </c>
      <c r="G489">
        <v>2019</v>
      </c>
      <c r="H489">
        <v>7182</v>
      </c>
      <c r="I489">
        <v>6878</v>
      </c>
      <c r="J489">
        <v>305</v>
      </c>
      <c r="K489">
        <v>6118</v>
      </c>
      <c r="L489">
        <v>85</v>
      </c>
      <c r="M489">
        <v>1064</v>
      </c>
      <c r="N489">
        <v>15</v>
      </c>
    </row>
    <row r="490" spans="1:14" x14ac:dyDescent="0.35">
      <c r="A490" t="s">
        <v>583</v>
      </c>
      <c r="B490" t="s">
        <v>15</v>
      </c>
      <c r="C490" t="s">
        <v>90</v>
      </c>
      <c r="D490" t="s">
        <v>25</v>
      </c>
      <c r="E490" t="s">
        <v>91</v>
      </c>
      <c r="F490" t="s">
        <v>49</v>
      </c>
      <c r="G490">
        <v>2015</v>
      </c>
      <c r="H490">
        <v>7123</v>
      </c>
      <c r="I490">
        <v>5596</v>
      </c>
      <c r="J490">
        <v>1528</v>
      </c>
      <c r="K490">
        <v>3002</v>
      </c>
      <c r="L490">
        <v>42</v>
      </c>
      <c r="M490">
        <v>4121</v>
      </c>
      <c r="N490">
        <v>58</v>
      </c>
    </row>
    <row r="491" spans="1:14" x14ac:dyDescent="0.35">
      <c r="A491" t="s">
        <v>584</v>
      </c>
      <c r="B491" t="s">
        <v>15</v>
      </c>
      <c r="C491" t="s">
        <v>22</v>
      </c>
      <c r="D491" t="s">
        <v>17</v>
      </c>
      <c r="E491" t="s">
        <v>23</v>
      </c>
      <c r="F491" t="s">
        <v>19</v>
      </c>
      <c r="G491">
        <v>2007</v>
      </c>
      <c r="H491">
        <v>7114</v>
      </c>
      <c r="I491">
        <v>4400</v>
      </c>
      <c r="J491">
        <v>2716</v>
      </c>
      <c r="K491">
        <v>4</v>
      </c>
      <c r="L491">
        <v>0</v>
      </c>
      <c r="M491">
        <v>7110</v>
      </c>
      <c r="N491">
        <v>100</v>
      </c>
    </row>
    <row r="492" spans="1:14" x14ac:dyDescent="0.35">
      <c r="A492" t="s">
        <v>585</v>
      </c>
      <c r="B492" t="s">
        <v>15</v>
      </c>
      <c r="C492" t="s">
        <v>22</v>
      </c>
      <c r="D492" t="s">
        <v>17</v>
      </c>
      <c r="E492" t="s">
        <v>18</v>
      </c>
      <c r="F492" t="s">
        <v>19</v>
      </c>
      <c r="G492">
        <v>2010</v>
      </c>
      <c r="H492">
        <v>7074</v>
      </c>
      <c r="I492">
        <v>2882</v>
      </c>
      <c r="J492">
        <v>4191</v>
      </c>
      <c r="K492">
        <v>1158</v>
      </c>
      <c r="L492">
        <v>16</v>
      </c>
      <c r="M492">
        <v>5915</v>
      </c>
      <c r="N492">
        <v>84</v>
      </c>
    </row>
    <row r="493" spans="1:14" x14ac:dyDescent="0.35">
      <c r="A493" t="s">
        <v>586</v>
      </c>
      <c r="B493" t="s">
        <v>15</v>
      </c>
      <c r="C493" t="s">
        <v>22</v>
      </c>
      <c r="D493" t="s">
        <v>17</v>
      </c>
      <c r="E493" t="s">
        <v>18</v>
      </c>
      <c r="F493" t="s">
        <v>19</v>
      </c>
      <c r="G493">
        <v>2017</v>
      </c>
      <c r="H493">
        <v>7061</v>
      </c>
      <c r="I493">
        <v>7067</v>
      </c>
      <c r="J493">
        <v>0</v>
      </c>
      <c r="K493">
        <v>4347</v>
      </c>
      <c r="L493">
        <v>62</v>
      </c>
      <c r="M493">
        <v>2714</v>
      </c>
      <c r="N493">
        <v>38</v>
      </c>
    </row>
    <row r="494" spans="1:14" x14ac:dyDescent="0.35">
      <c r="A494" t="s">
        <v>587</v>
      </c>
      <c r="B494" t="s">
        <v>15</v>
      </c>
      <c r="C494" t="s">
        <v>90</v>
      </c>
      <c r="D494" t="s">
        <v>25</v>
      </c>
      <c r="E494" t="s">
        <v>83</v>
      </c>
      <c r="F494" t="s">
        <v>19</v>
      </c>
      <c r="G494">
        <v>1971</v>
      </c>
      <c r="H494">
        <v>7059</v>
      </c>
      <c r="I494">
        <v>6506</v>
      </c>
      <c r="J494">
        <v>557</v>
      </c>
      <c r="K494">
        <v>5676</v>
      </c>
      <c r="L494">
        <v>80</v>
      </c>
      <c r="M494">
        <v>1383</v>
      </c>
      <c r="N494">
        <v>20</v>
      </c>
    </row>
    <row r="495" spans="1:14" x14ac:dyDescent="0.35">
      <c r="A495" t="s">
        <v>588</v>
      </c>
      <c r="B495" t="s">
        <v>15</v>
      </c>
      <c r="C495" t="s">
        <v>90</v>
      </c>
      <c r="D495" t="s">
        <v>25</v>
      </c>
      <c r="E495" t="s">
        <v>83</v>
      </c>
      <c r="F495" t="s">
        <v>49</v>
      </c>
      <c r="G495">
        <v>1977</v>
      </c>
      <c r="H495">
        <v>7059</v>
      </c>
      <c r="I495">
        <v>6607</v>
      </c>
      <c r="J495">
        <v>447</v>
      </c>
      <c r="K495">
        <v>7059</v>
      </c>
      <c r="L495">
        <v>100</v>
      </c>
      <c r="M495">
        <v>0</v>
      </c>
      <c r="N495">
        <v>0</v>
      </c>
    </row>
    <row r="496" spans="1:14" x14ac:dyDescent="0.35">
      <c r="A496" t="s">
        <v>589</v>
      </c>
      <c r="B496" t="s">
        <v>15</v>
      </c>
      <c r="C496" t="s">
        <v>22</v>
      </c>
      <c r="D496" t="s">
        <v>17</v>
      </c>
      <c r="E496" t="s">
        <v>23</v>
      </c>
      <c r="F496" t="s">
        <v>19</v>
      </c>
      <c r="G496">
        <v>2002</v>
      </c>
      <c r="H496">
        <v>7048</v>
      </c>
      <c r="I496">
        <v>6851</v>
      </c>
      <c r="J496">
        <v>199</v>
      </c>
      <c r="K496">
        <v>5805</v>
      </c>
      <c r="L496">
        <v>82</v>
      </c>
      <c r="M496">
        <v>1244</v>
      </c>
      <c r="N496">
        <v>18</v>
      </c>
    </row>
    <row r="497" spans="1:14" x14ac:dyDescent="0.35">
      <c r="A497" t="s">
        <v>590</v>
      </c>
      <c r="B497" t="s">
        <v>15</v>
      </c>
      <c r="C497" t="s">
        <v>34</v>
      </c>
      <c r="D497" t="s">
        <v>17</v>
      </c>
      <c r="E497" t="s">
        <v>52</v>
      </c>
      <c r="F497" t="s">
        <v>49</v>
      </c>
      <c r="G497">
        <v>1979</v>
      </c>
      <c r="H497">
        <v>7034</v>
      </c>
      <c r="I497">
        <v>7035</v>
      </c>
      <c r="J497">
        <v>3</v>
      </c>
      <c r="K497">
        <v>6940</v>
      </c>
      <c r="L497">
        <v>99</v>
      </c>
      <c r="M497">
        <v>94</v>
      </c>
      <c r="N497">
        <v>1</v>
      </c>
    </row>
    <row r="498" spans="1:14" x14ac:dyDescent="0.35">
      <c r="A498" t="s">
        <v>591</v>
      </c>
      <c r="B498" t="s">
        <v>79</v>
      </c>
      <c r="C498" t="s">
        <v>22</v>
      </c>
      <c r="D498" t="s">
        <v>17</v>
      </c>
      <c r="E498" t="s">
        <v>23</v>
      </c>
      <c r="F498" t="s">
        <v>49</v>
      </c>
      <c r="G498">
        <v>2017</v>
      </c>
      <c r="H498">
        <v>7029</v>
      </c>
      <c r="I498">
        <v>5774</v>
      </c>
      <c r="J498">
        <v>1261</v>
      </c>
      <c r="K498">
        <v>5706</v>
      </c>
      <c r="L498">
        <v>81</v>
      </c>
      <c r="M498">
        <v>1323</v>
      </c>
      <c r="N498">
        <v>19</v>
      </c>
    </row>
    <row r="499" spans="1:14" x14ac:dyDescent="0.35">
      <c r="A499" t="s">
        <v>592</v>
      </c>
      <c r="B499" t="s">
        <v>15</v>
      </c>
      <c r="C499" t="s">
        <v>22</v>
      </c>
      <c r="D499" t="s">
        <v>17</v>
      </c>
      <c r="E499" t="s">
        <v>593</v>
      </c>
      <c r="F499" t="s">
        <v>49</v>
      </c>
      <c r="G499">
        <v>1997</v>
      </c>
      <c r="H499">
        <v>7019</v>
      </c>
      <c r="I499">
        <v>7018</v>
      </c>
      <c r="J499">
        <v>5</v>
      </c>
      <c r="K499">
        <v>6806</v>
      </c>
      <c r="L499">
        <v>97</v>
      </c>
      <c r="M499">
        <v>213</v>
      </c>
      <c r="N499">
        <v>3</v>
      </c>
    </row>
    <row r="500" spans="1:14" x14ac:dyDescent="0.35">
      <c r="A500" t="s">
        <v>594</v>
      </c>
      <c r="B500" t="s">
        <v>15</v>
      </c>
      <c r="C500" t="s">
        <v>22</v>
      </c>
      <c r="D500" t="s">
        <v>17</v>
      </c>
      <c r="E500" t="s">
        <v>292</v>
      </c>
      <c r="F500" t="s">
        <v>49</v>
      </c>
      <c r="G500">
        <v>1994</v>
      </c>
      <c r="H500">
        <v>6976</v>
      </c>
      <c r="I500">
        <v>4188</v>
      </c>
      <c r="J500">
        <v>2798</v>
      </c>
      <c r="K500">
        <v>6415</v>
      </c>
      <c r="L500">
        <v>92</v>
      </c>
      <c r="M500">
        <v>562</v>
      </c>
      <c r="N500">
        <v>8</v>
      </c>
    </row>
    <row r="501" spans="1:14" x14ac:dyDescent="0.35">
      <c r="A501" t="s">
        <v>595</v>
      </c>
      <c r="B501" t="s">
        <v>15</v>
      </c>
      <c r="C501" t="s">
        <v>22</v>
      </c>
      <c r="D501" t="s">
        <v>25</v>
      </c>
      <c r="E501" t="s">
        <v>26</v>
      </c>
      <c r="F501" t="s">
        <v>19</v>
      </c>
      <c r="G501">
        <v>2017</v>
      </c>
      <c r="H501">
        <v>6972</v>
      </c>
      <c r="I501">
        <v>6956</v>
      </c>
      <c r="J501">
        <v>20</v>
      </c>
      <c r="K501">
        <v>1876</v>
      </c>
      <c r="L501">
        <v>27</v>
      </c>
      <c r="M501">
        <v>5096</v>
      </c>
      <c r="N501">
        <v>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3EB9C-B24B-4867-9819-8E732F1DF19A}">
  <dimension ref="A1:N501"/>
  <sheetViews>
    <sheetView workbookViewId="0">
      <selection sqref="A1:N501"/>
    </sheetView>
  </sheetViews>
  <sheetFormatPr defaultRowHeight="14.5" x14ac:dyDescent="0.35"/>
  <cols>
    <col min="1" max="1" width="12.81640625" customWidth="1"/>
    <col min="3" max="3" width="17.1796875" customWidth="1"/>
    <col min="4" max="4" width="17.6328125" customWidth="1"/>
    <col min="5" max="5" width="14.90625" customWidth="1"/>
    <col min="6" max="6" width="12.36328125" customWidth="1"/>
    <col min="7" max="7" width="12.1796875" customWidth="1"/>
    <col min="8" max="8" width="24.54296875" customWidth="1"/>
    <col min="9" max="9" width="24.1796875" customWidth="1"/>
    <col min="10" max="10" width="26.7265625" customWidth="1"/>
    <col min="11" max="11" width="23.81640625" customWidth="1"/>
    <col min="12" max="12" width="17.7265625" customWidth="1"/>
    <col min="13" max="13" width="31.36328125" customWidth="1"/>
    <col min="14" max="14" width="25.26953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t="s">
        <v>18</v>
      </c>
      <c r="F2" t="s">
        <v>19</v>
      </c>
      <c r="G2">
        <v>2006</v>
      </c>
      <c r="H2">
        <v>137492.1</v>
      </c>
      <c r="I2">
        <v>94851.1</v>
      </c>
      <c r="J2">
        <v>42640.9</v>
      </c>
      <c r="K2">
        <v>53323.9</v>
      </c>
      <c r="L2">
        <v>38.783246460000001</v>
      </c>
      <c r="M2">
        <v>84168.2</v>
      </c>
      <c r="N2">
        <v>61.216753539999999</v>
      </c>
    </row>
    <row r="3" spans="1:14" x14ac:dyDescent="0.35">
      <c r="A3" t="s">
        <v>20</v>
      </c>
      <c r="B3" t="s">
        <v>21</v>
      </c>
      <c r="C3" t="s">
        <v>22</v>
      </c>
      <c r="D3" t="s">
        <v>17</v>
      </c>
      <c r="E3" t="s">
        <v>23</v>
      </c>
      <c r="F3" t="s">
        <v>19</v>
      </c>
      <c r="G3">
        <v>2006</v>
      </c>
      <c r="H3">
        <v>127861</v>
      </c>
      <c r="I3">
        <v>126177.3</v>
      </c>
      <c r="J3">
        <v>1683.8</v>
      </c>
      <c r="K3">
        <v>113421.5</v>
      </c>
      <c r="L3">
        <v>88.706877000000006</v>
      </c>
      <c r="M3">
        <v>14439.5</v>
      </c>
      <c r="N3">
        <v>11.293123</v>
      </c>
    </row>
    <row r="4" spans="1:14" x14ac:dyDescent="0.35">
      <c r="A4" t="s">
        <v>24</v>
      </c>
      <c r="B4" t="s">
        <v>15</v>
      </c>
      <c r="C4" t="s">
        <v>22</v>
      </c>
      <c r="D4" t="s">
        <v>25</v>
      </c>
      <c r="E4" t="s">
        <v>26</v>
      </c>
      <c r="F4" t="s">
        <v>19</v>
      </c>
      <c r="G4">
        <v>2013</v>
      </c>
      <c r="H4">
        <v>125899.8</v>
      </c>
      <c r="I4">
        <v>82189.3</v>
      </c>
      <c r="J4">
        <v>43710.5</v>
      </c>
      <c r="K4">
        <v>48887</v>
      </c>
      <c r="L4">
        <v>38.830085510000004</v>
      </c>
      <c r="M4">
        <v>77012.800000000003</v>
      </c>
      <c r="N4">
        <v>61.169914489999996</v>
      </c>
    </row>
    <row r="5" spans="1:14" x14ac:dyDescent="0.35">
      <c r="A5" t="s">
        <v>27</v>
      </c>
      <c r="B5" t="s">
        <v>15</v>
      </c>
      <c r="C5" t="s">
        <v>16</v>
      </c>
      <c r="D5" t="s">
        <v>17</v>
      </c>
      <c r="E5" t="s">
        <v>28</v>
      </c>
      <c r="F5" t="s">
        <v>19</v>
      </c>
      <c r="G5">
        <v>2009</v>
      </c>
      <c r="H5">
        <v>95703.2</v>
      </c>
      <c r="I5">
        <v>77189.399999999994</v>
      </c>
      <c r="J5">
        <v>18513.8</v>
      </c>
      <c r="K5">
        <v>51020</v>
      </c>
      <c r="L5">
        <v>53.310652099999999</v>
      </c>
      <c r="M5">
        <v>44683.199999999997</v>
      </c>
      <c r="N5">
        <v>46.689347900000001</v>
      </c>
    </row>
    <row r="6" spans="1:14" x14ac:dyDescent="0.35">
      <c r="A6" t="s">
        <v>29</v>
      </c>
      <c r="B6" t="s">
        <v>15</v>
      </c>
      <c r="C6" t="s">
        <v>16</v>
      </c>
      <c r="D6" t="s">
        <v>17</v>
      </c>
      <c r="E6" t="s">
        <v>23</v>
      </c>
      <c r="F6" t="s">
        <v>19</v>
      </c>
      <c r="G6">
        <v>2009</v>
      </c>
      <c r="H6">
        <v>78104.399999999994</v>
      </c>
      <c r="I6">
        <v>48316.2</v>
      </c>
      <c r="J6">
        <v>29788.2</v>
      </c>
      <c r="K6">
        <v>29638.3</v>
      </c>
      <c r="L6">
        <v>37.947029870000001</v>
      </c>
      <c r="M6">
        <v>48466.1</v>
      </c>
      <c r="N6">
        <v>62.052970129999999</v>
      </c>
    </row>
    <row r="7" spans="1:14" x14ac:dyDescent="0.35">
      <c r="A7" t="s">
        <v>30</v>
      </c>
      <c r="B7" t="s">
        <v>21</v>
      </c>
      <c r="C7" t="s">
        <v>22</v>
      </c>
      <c r="D7" t="s">
        <v>17</v>
      </c>
      <c r="E7" t="s">
        <v>23</v>
      </c>
      <c r="F7" t="s">
        <v>19</v>
      </c>
      <c r="G7">
        <v>2013</v>
      </c>
      <c r="H7">
        <v>68298.899999999994</v>
      </c>
      <c r="I7">
        <v>57097.5</v>
      </c>
      <c r="J7">
        <v>11201.4</v>
      </c>
      <c r="K7">
        <v>41615.5</v>
      </c>
      <c r="L7">
        <v>60.931435209999997</v>
      </c>
      <c r="M7">
        <v>26683.4</v>
      </c>
      <c r="N7">
        <v>39.068564790000003</v>
      </c>
    </row>
    <row r="8" spans="1:14" x14ac:dyDescent="0.35">
      <c r="A8" t="s">
        <v>31</v>
      </c>
      <c r="B8" t="s">
        <v>15</v>
      </c>
      <c r="C8" t="s">
        <v>22</v>
      </c>
      <c r="D8" t="s">
        <v>17</v>
      </c>
      <c r="E8" t="s">
        <v>18</v>
      </c>
      <c r="F8" t="s">
        <v>19</v>
      </c>
      <c r="G8">
        <v>2013</v>
      </c>
      <c r="H8">
        <v>65349.7</v>
      </c>
      <c r="I8">
        <v>35338.699999999997</v>
      </c>
      <c r="J8">
        <v>30027</v>
      </c>
      <c r="K8">
        <v>25309.9</v>
      </c>
      <c r="L8">
        <v>38.72994061</v>
      </c>
      <c r="M8">
        <v>40039.800000000003</v>
      </c>
      <c r="N8">
        <v>61.27005939</v>
      </c>
    </row>
    <row r="9" spans="1:14" x14ac:dyDescent="0.35">
      <c r="A9" t="s">
        <v>32</v>
      </c>
      <c r="B9" t="s">
        <v>15</v>
      </c>
      <c r="C9" t="s">
        <v>22</v>
      </c>
      <c r="D9" t="s">
        <v>17</v>
      </c>
      <c r="E9" t="s">
        <v>18</v>
      </c>
      <c r="F9" t="s">
        <v>19</v>
      </c>
      <c r="G9">
        <v>2004</v>
      </c>
      <c r="H9">
        <v>65142.9</v>
      </c>
      <c r="I9">
        <v>46558.400000000001</v>
      </c>
      <c r="J9">
        <v>18584.5</v>
      </c>
      <c r="K9">
        <v>28473</v>
      </c>
      <c r="L9">
        <v>43.708523880000001</v>
      </c>
      <c r="M9">
        <v>36669.9</v>
      </c>
      <c r="N9">
        <v>56.291476119999999</v>
      </c>
    </row>
    <row r="10" spans="1:14" x14ac:dyDescent="0.35">
      <c r="A10" t="s">
        <v>33</v>
      </c>
      <c r="B10" t="s">
        <v>15</v>
      </c>
      <c r="C10" t="s">
        <v>34</v>
      </c>
      <c r="D10" t="s">
        <v>17</v>
      </c>
      <c r="E10" t="s">
        <v>23</v>
      </c>
      <c r="F10" t="s">
        <v>19</v>
      </c>
      <c r="G10">
        <v>2011</v>
      </c>
      <c r="H10">
        <v>64656.9</v>
      </c>
      <c r="I10">
        <v>57704</v>
      </c>
      <c r="J10">
        <v>6967.8</v>
      </c>
      <c r="K10">
        <v>46700</v>
      </c>
      <c r="L10">
        <v>72.227403420000002</v>
      </c>
      <c r="M10">
        <v>17956.900000000001</v>
      </c>
      <c r="N10">
        <v>27.772596579999998</v>
      </c>
    </row>
    <row r="11" spans="1:14" x14ac:dyDescent="0.35">
      <c r="A11" t="s">
        <v>35</v>
      </c>
      <c r="B11" t="s">
        <v>15</v>
      </c>
      <c r="C11" t="s">
        <v>22</v>
      </c>
      <c r="D11" t="s">
        <v>17</v>
      </c>
      <c r="E11" t="s">
        <v>18</v>
      </c>
      <c r="F11" t="s">
        <v>19</v>
      </c>
      <c r="G11">
        <v>1996</v>
      </c>
      <c r="H11">
        <v>64549</v>
      </c>
      <c r="I11">
        <v>54466.8</v>
      </c>
      <c r="J11">
        <v>10100.700000000001</v>
      </c>
      <c r="K11">
        <v>32940</v>
      </c>
      <c r="L11">
        <v>51.030999710000003</v>
      </c>
      <c r="M11">
        <v>31609</v>
      </c>
      <c r="N11">
        <v>48.969000289999997</v>
      </c>
    </row>
    <row r="12" spans="1:14" x14ac:dyDescent="0.35">
      <c r="A12" t="s">
        <v>36</v>
      </c>
      <c r="B12" t="s">
        <v>21</v>
      </c>
      <c r="C12" t="s">
        <v>37</v>
      </c>
      <c r="D12" t="s">
        <v>17</v>
      </c>
      <c r="E12" t="s">
        <v>23</v>
      </c>
      <c r="F12" t="s">
        <v>19</v>
      </c>
      <c r="G12">
        <v>2005</v>
      </c>
      <c r="H12">
        <v>60670.7</v>
      </c>
      <c r="I12">
        <v>44824.4</v>
      </c>
      <c r="J12">
        <v>15846.4</v>
      </c>
      <c r="K12">
        <v>30261.8</v>
      </c>
      <c r="L12">
        <v>49.878771800000003</v>
      </c>
      <c r="M12">
        <v>30408.9</v>
      </c>
      <c r="N12">
        <v>50.121228199999997</v>
      </c>
    </row>
    <row r="13" spans="1:14" x14ac:dyDescent="0.35">
      <c r="A13" t="s">
        <v>38</v>
      </c>
      <c r="B13" t="s">
        <v>21</v>
      </c>
      <c r="C13" t="s">
        <v>22</v>
      </c>
      <c r="D13" t="s">
        <v>17</v>
      </c>
      <c r="E13" t="s">
        <v>23</v>
      </c>
      <c r="F13" t="s">
        <v>19</v>
      </c>
      <c r="G13">
        <v>2015</v>
      </c>
      <c r="H13">
        <v>58049.5</v>
      </c>
      <c r="I13">
        <v>57160.1</v>
      </c>
      <c r="J13">
        <v>889.4</v>
      </c>
      <c r="K13">
        <v>51567.9</v>
      </c>
      <c r="L13">
        <v>88.834356889999995</v>
      </c>
      <c r="M13">
        <v>6481.6</v>
      </c>
      <c r="N13">
        <v>11.16564311</v>
      </c>
    </row>
    <row r="14" spans="1:14" x14ac:dyDescent="0.35">
      <c r="A14" t="s">
        <v>39</v>
      </c>
      <c r="B14" t="s">
        <v>15</v>
      </c>
      <c r="C14" t="s">
        <v>22</v>
      </c>
      <c r="D14" t="s">
        <v>17</v>
      </c>
      <c r="E14" t="s">
        <v>23</v>
      </c>
      <c r="F14" t="s">
        <v>19</v>
      </c>
      <c r="G14">
        <v>2010</v>
      </c>
      <c r="H14">
        <v>56727.1</v>
      </c>
      <c r="I14">
        <v>40714</v>
      </c>
      <c r="J14">
        <v>16013.1</v>
      </c>
      <c r="K14">
        <v>33618.1</v>
      </c>
      <c r="L14">
        <v>59.262856730000003</v>
      </c>
      <c r="M14">
        <v>23109</v>
      </c>
      <c r="N14">
        <v>40.737143269999997</v>
      </c>
    </row>
    <row r="15" spans="1:14" x14ac:dyDescent="0.35">
      <c r="A15" t="s">
        <v>40</v>
      </c>
      <c r="B15" t="s">
        <v>15</v>
      </c>
      <c r="C15" t="s">
        <v>22</v>
      </c>
      <c r="D15" t="s">
        <v>17</v>
      </c>
      <c r="E15" t="s">
        <v>18</v>
      </c>
      <c r="F15" t="s">
        <v>19</v>
      </c>
      <c r="G15">
        <v>2009</v>
      </c>
      <c r="H15">
        <v>56459.5</v>
      </c>
      <c r="I15">
        <v>40752.199999999997</v>
      </c>
      <c r="J15">
        <v>15725</v>
      </c>
      <c r="K15">
        <v>23403.5</v>
      </c>
      <c r="L15">
        <v>41.451837159999997</v>
      </c>
      <c r="M15">
        <v>33056</v>
      </c>
      <c r="N15">
        <v>58.548162840000003</v>
      </c>
    </row>
    <row r="16" spans="1:14" x14ac:dyDescent="0.35">
      <c r="A16" t="s">
        <v>41</v>
      </c>
      <c r="B16" t="s">
        <v>15</v>
      </c>
      <c r="C16" t="s">
        <v>22</v>
      </c>
      <c r="D16" t="s">
        <v>17</v>
      </c>
      <c r="E16" t="s">
        <v>23</v>
      </c>
      <c r="F16" t="s">
        <v>19</v>
      </c>
      <c r="G16">
        <v>2011</v>
      </c>
      <c r="H16">
        <v>55028.3</v>
      </c>
      <c r="I16">
        <v>48805.599999999999</v>
      </c>
      <c r="J16">
        <v>6235.6</v>
      </c>
      <c r="K16">
        <v>25419.4</v>
      </c>
      <c r="L16">
        <v>46.193322350000003</v>
      </c>
      <c r="M16">
        <v>29608.9</v>
      </c>
      <c r="N16">
        <v>53.806677649999997</v>
      </c>
    </row>
    <row r="17" spans="1:14" x14ac:dyDescent="0.35">
      <c r="A17" t="s">
        <v>42</v>
      </c>
      <c r="B17" t="s">
        <v>15</v>
      </c>
      <c r="C17" t="s">
        <v>43</v>
      </c>
      <c r="D17" t="s">
        <v>25</v>
      </c>
      <c r="E17" t="s">
        <v>26</v>
      </c>
      <c r="F17" t="s">
        <v>19</v>
      </c>
      <c r="G17">
        <v>2004</v>
      </c>
      <c r="H17">
        <v>54649.2</v>
      </c>
      <c r="I17">
        <v>25333.3</v>
      </c>
      <c r="J17">
        <v>29334</v>
      </c>
      <c r="K17">
        <v>7844.5</v>
      </c>
      <c r="L17">
        <v>14.35428149</v>
      </c>
      <c r="M17">
        <v>46804.7</v>
      </c>
      <c r="N17">
        <v>85.645718509999995</v>
      </c>
    </row>
    <row r="18" spans="1:14" x14ac:dyDescent="0.35">
      <c r="A18" t="s">
        <v>44</v>
      </c>
      <c r="B18" t="s">
        <v>15</v>
      </c>
      <c r="C18" t="s">
        <v>22</v>
      </c>
      <c r="D18" t="s">
        <v>17</v>
      </c>
      <c r="E18" t="s">
        <v>18</v>
      </c>
      <c r="F18" t="s">
        <v>19</v>
      </c>
      <c r="G18">
        <v>2010</v>
      </c>
      <c r="H18">
        <v>53951.5</v>
      </c>
      <c r="I18">
        <v>27879</v>
      </c>
      <c r="J18">
        <v>26072.5</v>
      </c>
      <c r="K18">
        <v>12647.5</v>
      </c>
      <c r="L18">
        <v>23.442350999999999</v>
      </c>
      <c r="M18">
        <v>41304</v>
      </c>
      <c r="N18">
        <v>76.557648999999998</v>
      </c>
    </row>
    <row r="19" spans="1:14" x14ac:dyDescent="0.35">
      <c r="A19" t="s">
        <v>45</v>
      </c>
      <c r="B19" t="s">
        <v>15</v>
      </c>
      <c r="C19" t="s">
        <v>46</v>
      </c>
      <c r="D19" t="s">
        <v>47</v>
      </c>
      <c r="E19" t="s">
        <v>48</v>
      </c>
      <c r="F19" t="s">
        <v>49</v>
      </c>
      <c r="G19">
        <v>2013</v>
      </c>
      <c r="H19">
        <v>53308.9</v>
      </c>
      <c r="I19">
        <v>47969.9</v>
      </c>
      <c r="J19">
        <v>5339</v>
      </c>
      <c r="K19">
        <v>44114.400000000001</v>
      </c>
      <c r="L19">
        <v>82.752410949999998</v>
      </c>
      <c r="M19">
        <v>9194.5</v>
      </c>
      <c r="N19">
        <v>17.247589049999998</v>
      </c>
    </row>
    <row r="20" spans="1:14" x14ac:dyDescent="0.35">
      <c r="A20" t="s">
        <v>50</v>
      </c>
      <c r="B20" t="s">
        <v>15</v>
      </c>
      <c r="C20" t="s">
        <v>22</v>
      </c>
      <c r="D20" t="s">
        <v>25</v>
      </c>
      <c r="E20" t="s">
        <v>26</v>
      </c>
      <c r="F20" t="s">
        <v>19</v>
      </c>
      <c r="G20">
        <v>2012</v>
      </c>
      <c r="H20">
        <v>47649.2</v>
      </c>
      <c r="I20">
        <v>20247.099999999999</v>
      </c>
      <c r="J20">
        <v>27418.9</v>
      </c>
      <c r="K20">
        <v>8621.1</v>
      </c>
      <c r="L20">
        <v>18.092853609999999</v>
      </c>
      <c r="M20">
        <v>39028.1</v>
      </c>
      <c r="N20">
        <v>81.907146389999994</v>
      </c>
    </row>
    <row r="21" spans="1:14" x14ac:dyDescent="0.35">
      <c r="A21" t="s">
        <v>51</v>
      </c>
      <c r="B21" t="s">
        <v>15</v>
      </c>
      <c r="C21" t="s">
        <v>34</v>
      </c>
      <c r="D21" t="s">
        <v>17</v>
      </c>
      <c r="E21" t="s">
        <v>52</v>
      </c>
      <c r="F21" t="s">
        <v>49</v>
      </c>
      <c r="G21">
        <v>1999</v>
      </c>
      <c r="H21">
        <v>46720.4</v>
      </c>
      <c r="I21">
        <v>42837.1</v>
      </c>
      <c r="J21">
        <v>3901.3</v>
      </c>
      <c r="K21">
        <v>38535.199999999997</v>
      </c>
      <c r="L21">
        <v>82.480458220000003</v>
      </c>
      <c r="M21">
        <v>8185.2</v>
      </c>
      <c r="N21">
        <v>17.519541780000001</v>
      </c>
    </row>
    <row r="22" spans="1:14" x14ac:dyDescent="0.35">
      <c r="A22" t="s">
        <v>53</v>
      </c>
      <c r="B22" t="s">
        <v>15</v>
      </c>
      <c r="C22" t="s">
        <v>22</v>
      </c>
      <c r="D22" t="s">
        <v>17</v>
      </c>
      <c r="E22" t="s">
        <v>18</v>
      </c>
      <c r="F22" t="s">
        <v>19</v>
      </c>
      <c r="G22">
        <v>2015</v>
      </c>
      <c r="H22">
        <v>46276.4</v>
      </c>
      <c r="I22">
        <v>34132.1</v>
      </c>
      <c r="J22">
        <v>12155.1</v>
      </c>
      <c r="K22">
        <v>26675.7</v>
      </c>
      <c r="L22">
        <v>57.64428521</v>
      </c>
      <c r="M22">
        <v>19600.7</v>
      </c>
      <c r="N22">
        <v>42.35571479</v>
      </c>
    </row>
    <row r="23" spans="1:14" x14ac:dyDescent="0.35">
      <c r="A23" t="s">
        <v>54</v>
      </c>
      <c r="B23" t="s">
        <v>15</v>
      </c>
      <c r="C23" t="s">
        <v>22</v>
      </c>
      <c r="D23" t="s">
        <v>17</v>
      </c>
      <c r="E23" t="s">
        <v>28</v>
      </c>
      <c r="F23" t="s">
        <v>19</v>
      </c>
      <c r="G23">
        <v>2005</v>
      </c>
      <c r="H23">
        <v>43963.8</v>
      </c>
      <c r="I23">
        <v>24455.7</v>
      </c>
      <c r="J23">
        <v>19523.900000000001</v>
      </c>
      <c r="K23">
        <v>12219.3</v>
      </c>
      <c r="L23">
        <v>27.794003249999999</v>
      </c>
      <c r="M23">
        <v>31744.5</v>
      </c>
      <c r="N23">
        <v>72.205996749999997</v>
      </c>
    </row>
    <row r="24" spans="1:14" x14ac:dyDescent="0.35">
      <c r="A24" t="s">
        <v>55</v>
      </c>
      <c r="B24" t="s">
        <v>21</v>
      </c>
      <c r="C24" t="s">
        <v>56</v>
      </c>
      <c r="D24" t="s">
        <v>17</v>
      </c>
      <c r="E24" t="s">
        <v>18</v>
      </c>
      <c r="F24" t="s">
        <v>19</v>
      </c>
      <c r="G24">
        <v>2007</v>
      </c>
      <c r="H24">
        <v>43330.3</v>
      </c>
      <c r="I24">
        <v>16316.4</v>
      </c>
      <c r="J24">
        <v>27027.9</v>
      </c>
      <c r="K24">
        <v>9618.2000000000007</v>
      </c>
      <c r="L24">
        <v>22.197399969999999</v>
      </c>
      <c r="M24">
        <v>33712.1</v>
      </c>
      <c r="N24">
        <v>77.802600029999994</v>
      </c>
    </row>
    <row r="25" spans="1:14" x14ac:dyDescent="0.35">
      <c r="A25" t="s">
        <v>57</v>
      </c>
      <c r="B25" t="s">
        <v>21</v>
      </c>
      <c r="C25" t="s">
        <v>22</v>
      </c>
      <c r="D25" t="s">
        <v>17</v>
      </c>
      <c r="E25" t="s">
        <v>58</v>
      </c>
      <c r="F25" t="s">
        <v>19</v>
      </c>
      <c r="G25">
        <v>2010</v>
      </c>
      <c r="H25">
        <v>42464.1</v>
      </c>
      <c r="I25">
        <v>38477.300000000003</v>
      </c>
      <c r="J25">
        <v>3986.8</v>
      </c>
      <c r="K25">
        <v>34578.400000000001</v>
      </c>
      <c r="L25">
        <v>81.429725340000005</v>
      </c>
      <c r="M25">
        <v>7885.7</v>
      </c>
      <c r="N25">
        <v>18.570274659999999</v>
      </c>
    </row>
    <row r="26" spans="1:14" x14ac:dyDescent="0.35">
      <c r="A26" t="s">
        <v>59</v>
      </c>
      <c r="B26" t="s">
        <v>15</v>
      </c>
      <c r="C26" t="s">
        <v>60</v>
      </c>
      <c r="D26" t="s">
        <v>17</v>
      </c>
      <c r="E26" t="s">
        <v>61</v>
      </c>
      <c r="F26" t="s">
        <v>19</v>
      </c>
      <c r="G26">
        <v>1990</v>
      </c>
      <c r="H26">
        <v>42059.5</v>
      </c>
      <c r="I26">
        <v>30750.799999999999</v>
      </c>
      <c r="J26">
        <v>11325.3</v>
      </c>
      <c r="K26">
        <v>406.8</v>
      </c>
      <c r="L26">
        <v>0.96720122679999998</v>
      </c>
      <c r="M26">
        <v>41652.699999999997</v>
      </c>
      <c r="N26">
        <v>99.032798769999999</v>
      </c>
    </row>
    <row r="27" spans="1:14" x14ac:dyDescent="0.35">
      <c r="A27" t="s">
        <v>62</v>
      </c>
      <c r="B27" t="s">
        <v>21</v>
      </c>
      <c r="C27" t="s">
        <v>34</v>
      </c>
      <c r="D27" t="s">
        <v>17</v>
      </c>
      <c r="E27" t="s">
        <v>23</v>
      </c>
      <c r="F27" t="s">
        <v>19</v>
      </c>
      <c r="G27">
        <v>2015</v>
      </c>
      <c r="H27">
        <v>41944.1</v>
      </c>
      <c r="I27">
        <v>28269.7</v>
      </c>
      <c r="J27">
        <v>13687.6</v>
      </c>
      <c r="K27">
        <v>23133.7</v>
      </c>
      <c r="L27">
        <v>55.153644970000002</v>
      </c>
      <c r="M27">
        <v>18810.400000000001</v>
      </c>
      <c r="N27">
        <v>44.846355029999998</v>
      </c>
    </row>
    <row r="28" spans="1:14" x14ac:dyDescent="0.35">
      <c r="A28" t="s">
        <v>63</v>
      </c>
      <c r="B28" t="s">
        <v>15</v>
      </c>
      <c r="C28" t="s">
        <v>22</v>
      </c>
      <c r="D28" t="s">
        <v>25</v>
      </c>
      <c r="E28" t="s">
        <v>26</v>
      </c>
      <c r="F28" t="s">
        <v>19</v>
      </c>
      <c r="G28">
        <v>1991</v>
      </c>
      <c r="H28">
        <v>41405.4</v>
      </c>
      <c r="I28">
        <v>19772.099999999999</v>
      </c>
      <c r="J28">
        <v>21650</v>
      </c>
      <c r="K28">
        <v>10692.8</v>
      </c>
      <c r="L28">
        <v>25.824650890000001</v>
      </c>
      <c r="M28">
        <v>30712.6</v>
      </c>
      <c r="N28">
        <v>74.175349109999999</v>
      </c>
    </row>
    <row r="29" spans="1:14" x14ac:dyDescent="0.35">
      <c r="A29" t="s">
        <v>64</v>
      </c>
      <c r="B29" t="s">
        <v>15</v>
      </c>
      <c r="C29" t="s">
        <v>22</v>
      </c>
      <c r="D29" t="s">
        <v>25</v>
      </c>
      <c r="E29" t="s">
        <v>26</v>
      </c>
      <c r="F29" t="s">
        <v>19</v>
      </c>
      <c r="G29">
        <v>2014</v>
      </c>
      <c r="H29">
        <v>40738.6</v>
      </c>
      <c r="I29">
        <v>24898</v>
      </c>
      <c r="J29">
        <v>15857.7</v>
      </c>
      <c r="K29">
        <v>10432.5</v>
      </c>
      <c r="L29">
        <v>25.608391059999999</v>
      </c>
      <c r="M29">
        <v>30306.1</v>
      </c>
      <c r="N29">
        <v>74.391608939999998</v>
      </c>
    </row>
    <row r="30" spans="1:14" x14ac:dyDescent="0.35">
      <c r="A30" t="s">
        <v>65</v>
      </c>
      <c r="B30" t="s">
        <v>15</v>
      </c>
      <c r="C30" t="s">
        <v>22</v>
      </c>
      <c r="D30" t="s">
        <v>25</v>
      </c>
      <c r="E30" t="s">
        <v>26</v>
      </c>
      <c r="F30" t="s">
        <v>19</v>
      </c>
      <c r="G30">
        <v>2011</v>
      </c>
      <c r="H30">
        <v>40453.300000000003</v>
      </c>
      <c r="I30">
        <v>18355.599999999999</v>
      </c>
      <c r="J30">
        <v>22118.9</v>
      </c>
      <c r="K30">
        <v>6177</v>
      </c>
      <c r="L30">
        <v>15.26945886</v>
      </c>
      <c r="M30">
        <v>34276.300000000003</v>
      </c>
      <c r="N30">
        <v>84.73054114</v>
      </c>
    </row>
    <row r="31" spans="1:14" x14ac:dyDescent="0.35">
      <c r="A31" t="s">
        <v>66</v>
      </c>
      <c r="B31" t="s">
        <v>15</v>
      </c>
      <c r="C31" t="s">
        <v>22</v>
      </c>
      <c r="D31" t="s">
        <v>17</v>
      </c>
      <c r="E31" t="s">
        <v>18</v>
      </c>
      <c r="F31" t="s">
        <v>19</v>
      </c>
      <c r="G31">
        <v>2013</v>
      </c>
      <c r="H31">
        <v>40411.300000000003</v>
      </c>
      <c r="I31">
        <v>34419.9</v>
      </c>
      <c r="J31">
        <v>5998.9</v>
      </c>
      <c r="K31">
        <v>28138.400000000001</v>
      </c>
      <c r="L31">
        <v>69.630029219999997</v>
      </c>
      <c r="M31">
        <v>12272.9</v>
      </c>
      <c r="N31">
        <v>30.369970779999999</v>
      </c>
    </row>
    <row r="32" spans="1:14" x14ac:dyDescent="0.35">
      <c r="A32" t="s">
        <v>67</v>
      </c>
      <c r="B32" t="s">
        <v>15</v>
      </c>
      <c r="C32" t="s">
        <v>22</v>
      </c>
      <c r="D32" t="s">
        <v>17</v>
      </c>
      <c r="E32" t="s">
        <v>52</v>
      </c>
      <c r="F32" t="s">
        <v>49</v>
      </c>
      <c r="G32">
        <v>2012</v>
      </c>
      <c r="H32">
        <v>40279.5</v>
      </c>
      <c r="I32">
        <v>38006.699999999997</v>
      </c>
      <c r="J32">
        <v>2283.1999999999998</v>
      </c>
      <c r="K32">
        <v>33880.400000000001</v>
      </c>
      <c r="L32">
        <v>84.113258610000003</v>
      </c>
      <c r="M32">
        <v>6399.1</v>
      </c>
      <c r="N32">
        <v>15.886741389999999</v>
      </c>
    </row>
    <row r="33" spans="1:14" x14ac:dyDescent="0.35">
      <c r="A33" t="s">
        <v>68</v>
      </c>
      <c r="B33" t="s">
        <v>15</v>
      </c>
      <c r="C33" t="s">
        <v>22</v>
      </c>
      <c r="D33" t="s">
        <v>17</v>
      </c>
      <c r="E33" t="s">
        <v>18</v>
      </c>
      <c r="F33" t="s">
        <v>19</v>
      </c>
      <c r="G33">
        <v>1997</v>
      </c>
      <c r="H33">
        <v>40148.199999999997</v>
      </c>
      <c r="I33">
        <v>15870.4</v>
      </c>
      <c r="J33">
        <v>24279.9</v>
      </c>
      <c r="K33">
        <v>4050.9</v>
      </c>
      <c r="L33">
        <v>10.08986704</v>
      </c>
      <c r="M33">
        <v>36097.300000000003</v>
      </c>
      <c r="N33">
        <v>89.910132959999999</v>
      </c>
    </row>
    <row r="34" spans="1:14" x14ac:dyDescent="0.35">
      <c r="A34" t="s">
        <v>69</v>
      </c>
      <c r="B34" t="s">
        <v>15</v>
      </c>
      <c r="C34" t="s">
        <v>34</v>
      </c>
      <c r="D34" t="s">
        <v>17</v>
      </c>
      <c r="E34" t="s">
        <v>18</v>
      </c>
      <c r="F34" t="s">
        <v>19</v>
      </c>
      <c r="G34">
        <v>2014</v>
      </c>
      <c r="H34">
        <v>39024.300000000003</v>
      </c>
      <c r="I34">
        <v>15878</v>
      </c>
      <c r="J34">
        <v>23155.599999999999</v>
      </c>
      <c r="K34">
        <v>7883.1</v>
      </c>
      <c r="L34">
        <v>20.200490460000001</v>
      </c>
      <c r="M34">
        <v>31141.200000000001</v>
      </c>
      <c r="N34">
        <v>79.799509540000003</v>
      </c>
    </row>
    <row r="35" spans="1:14" x14ac:dyDescent="0.35">
      <c r="A35" t="s">
        <v>70</v>
      </c>
      <c r="B35" t="s">
        <v>21</v>
      </c>
      <c r="C35" t="s">
        <v>22</v>
      </c>
      <c r="D35" t="s">
        <v>17</v>
      </c>
      <c r="E35" t="s">
        <v>28</v>
      </c>
      <c r="F35" t="s">
        <v>19</v>
      </c>
      <c r="G35">
        <v>2012</v>
      </c>
      <c r="H35">
        <v>38879.599999999999</v>
      </c>
      <c r="I35">
        <v>25267.5</v>
      </c>
      <c r="J35">
        <v>13627.2</v>
      </c>
      <c r="K35">
        <v>19804.599999999999</v>
      </c>
      <c r="L35">
        <v>50.938281259999997</v>
      </c>
      <c r="M35">
        <v>19075</v>
      </c>
      <c r="N35">
        <v>49.061718740000003</v>
      </c>
    </row>
    <row r="36" spans="1:14" x14ac:dyDescent="0.35">
      <c r="A36" t="s">
        <v>71</v>
      </c>
      <c r="B36" t="s">
        <v>15</v>
      </c>
      <c r="C36" t="s">
        <v>72</v>
      </c>
      <c r="D36" t="s">
        <v>73</v>
      </c>
      <c r="E36" t="s">
        <v>74</v>
      </c>
      <c r="F36" t="s">
        <v>19</v>
      </c>
      <c r="G36">
        <v>2011</v>
      </c>
      <c r="H36">
        <v>37687.800000000003</v>
      </c>
      <c r="I36">
        <v>13330.4</v>
      </c>
      <c r="J36">
        <v>24384.799999999999</v>
      </c>
      <c r="K36">
        <v>4537.3999999999996</v>
      </c>
      <c r="L36">
        <v>12.03943982</v>
      </c>
      <c r="M36">
        <v>33150.400000000001</v>
      </c>
      <c r="N36">
        <v>87.960560180000002</v>
      </c>
    </row>
    <row r="37" spans="1:14" x14ac:dyDescent="0.35">
      <c r="A37" t="s">
        <v>75</v>
      </c>
      <c r="B37" t="s">
        <v>21</v>
      </c>
      <c r="C37" t="s">
        <v>22</v>
      </c>
      <c r="D37" t="s">
        <v>17</v>
      </c>
      <c r="E37" t="s">
        <v>23</v>
      </c>
      <c r="F37" t="s">
        <v>19</v>
      </c>
      <c r="G37">
        <v>2008</v>
      </c>
      <c r="H37">
        <v>37565.4</v>
      </c>
      <c r="I37">
        <v>37009.699999999997</v>
      </c>
      <c r="J37">
        <v>572</v>
      </c>
      <c r="K37">
        <v>23546.2</v>
      </c>
      <c r="L37">
        <v>62.680551780000002</v>
      </c>
      <c r="M37">
        <v>14019.2</v>
      </c>
      <c r="N37">
        <v>37.319448219999998</v>
      </c>
    </row>
    <row r="38" spans="1:14" x14ac:dyDescent="0.35">
      <c r="A38" t="s">
        <v>76</v>
      </c>
      <c r="B38" t="s">
        <v>21</v>
      </c>
      <c r="C38" t="s">
        <v>43</v>
      </c>
      <c r="D38" t="s">
        <v>25</v>
      </c>
      <c r="E38" t="s">
        <v>26</v>
      </c>
      <c r="F38" t="s">
        <v>19</v>
      </c>
      <c r="G38">
        <v>2007</v>
      </c>
      <c r="H38">
        <v>37549.699999999997</v>
      </c>
      <c r="I38">
        <v>29603.8</v>
      </c>
      <c r="J38">
        <v>7961.5</v>
      </c>
      <c r="K38">
        <v>14790.4</v>
      </c>
      <c r="L38">
        <v>39.388863290000003</v>
      </c>
      <c r="M38">
        <v>22759.3</v>
      </c>
      <c r="N38">
        <v>60.611136709999997</v>
      </c>
    </row>
    <row r="39" spans="1:14" x14ac:dyDescent="0.35">
      <c r="A39" t="s">
        <v>77</v>
      </c>
      <c r="B39" t="s">
        <v>15</v>
      </c>
      <c r="C39" t="s">
        <v>22</v>
      </c>
      <c r="D39" t="s">
        <v>17</v>
      </c>
      <c r="E39" t="s">
        <v>18</v>
      </c>
      <c r="F39" t="s">
        <v>19</v>
      </c>
      <c r="G39">
        <v>2017</v>
      </c>
      <c r="H39">
        <v>35931.9</v>
      </c>
      <c r="I39">
        <v>18773.5</v>
      </c>
      <c r="J39">
        <v>17171.5</v>
      </c>
      <c r="K39">
        <v>8928.7999999999993</v>
      </c>
      <c r="L39">
        <v>24.84922868</v>
      </c>
      <c r="M39">
        <v>27003.1</v>
      </c>
      <c r="N39">
        <v>75.150771320000004</v>
      </c>
    </row>
    <row r="40" spans="1:14" x14ac:dyDescent="0.35">
      <c r="A40" t="s">
        <v>78</v>
      </c>
      <c r="B40" t="s">
        <v>79</v>
      </c>
      <c r="C40" t="s">
        <v>22</v>
      </c>
      <c r="D40" t="s">
        <v>17</v>
      </c>
      <c r="E40" t="s">
        <v>23</v>
      </c>
      <c r="F40" t="s">
        <v>49</v>
      </c>
      <c r="G40">
        <v>2002</v>
      </c>
      <c r="H40">
        <v>35794.1</v>
      </c>
      <c r="I40">
        <v>35585.800000000003</v>
      </c>
      <c r="J40">
        <v>222.6</v>
      </c>
      <c r="K40">
        <v>23312.5</v>
      </c>
      <c r="L40">
        <v>65.129448710000005</v>
      </c>
      <c r="M40">
        <v>12481.6</v>
      </c>
      <c r="N40">
        <v>34.870551290000002</v>
      </c>
    </row>
    <row r="41" spans="1:14" x14ac:dyDescent="0.35">
      <c r="A41" t="s">
        <v>80</v>
      </c>
      <c r="B41" t="s">
        <v>15</v>
      </c>
      <c r="C41" t="s">
        <v>22</v>
      </c>
      <c r="D41" t="s">
        <v>17</v>
      </c>
      <c r="E41" t="s">
        <v>28</v>
      </c>
      <c r="F41" t="s">
        <v>19</v>
      </c>
      <c r="G41">
        <v>2016</v>
      </c>
      <c r="H41">
        <v>35727.199999999997</v>
      </c>
      <c r="I41">
        <v>18499.900000000001</v>
      </c>
      <c r="J41">
        <v>17234.400000000001</v>
      </c>
      <c r="K41">
        <v>12520.6</v>
      </c>
      <c r="L41">
        <v>35.045007730000002</v>
      </c>
      <c r="M41">
        <v>23206.6</v>
      </c>
      <c r="N41">
        <v>64.954992270000005</v>
      </c>
    </row>
    <row r="42" spans="1:14" x14ac:dyDescent="0.35">
      <c r="A42" t="s">
        <v>81</v>
      </c>
      <c r="B42" t="s">
        <v>21</v>
      </c>
      <c r="C42" t="s">
        <v>22</v>
      </c>
      <c r="D42" t="s">
        <v>17</v>
      </c>
      <c r="E42" t="s">
        <v>23</v>
      </c>
      <c r="F42" t="s">
        <v>19</v>
      </c>
      <c r="G42">
        <v>2003</v>
      </c>
      <c r="H42">
        <v>34975.199999999997</v>
      </c>
      <c r="I42">
        <v>29662.799999999999</v>
      </c>
      <c r="J42">
        <v>5325.3</v>
      </c>
      <c r="K42">
        <v>21863.9</v>
      </c>
      <c r="L42">
        <v>62.51258034</v>
      </c>
      <c r="M42">
        <v>13111.3</v>
      </c>
      <c r="N42">
        <v>37.48741966</v>
      </c>
    </row>
    <row r="43" spans="1:14" x14ac:dyDescent="0.35">
      <c r="A43" t="s">
        <v>82</v>
      </c>
      <c r="B43" t="s">
        <v>15</v>
      </c>
      <c r="C43" t="s">
        <v>43</v>
      </c>
      <c r="D43" t="s">
        <v>25</v>
      </c>
      <c r="E43" t="s">
        <v>83</v>
      </c>
      <c r="F43" t="s">
        <v>19</v>
      </c>
      <c r="G43">
        <v>2010</v>
      </c>
      <c r="H43">
        <v>34841</v>
      </c>
      <c r="I43">
        <v>19449.8</v>
      </c>
      <c r="J43">
        <v>15404.7</v>
      </c>
      <c r="K43">
        <v>11616.3</v>
      </c>
      <c r="L43">
        <v>33.340891480000003</v>
      </c>
      <c r="M43">
        <v>23224.7</v>
      </c>
      <c r="N43">
        <v>66.659108520000004</v>
      </c>
    </row>
    <row r="44" spans="1:14" x14ac:dyDescent="0.35">
      <c r="A44" t="s">
        <v>84</v>
      </c>
      <c r="B44" t="s">
        <v>15</v>
      </c>
      <c r="C44" t="s">
        <v>43</v>
      </c>
      <c r="D44" t="s">
        <v>25</v>
      </c>
      <c r="E44" t="s">
        <v>26</v>
      </c>
      <c r="F44" t="s">
        <v>19</v>
      </c>
      <c r="G44">
        <v>2015</v>
      </c>
      <c r="H44">
        <v>34579.1</v>
      </c>
      <c r="I44">
        <v>18725.599999999999</v>
      </c>
      <c r="J44">
        <v>15774.1</v>
      </c>
      <c r="K44">
        <v>9877.2999999999993</v>
      </c>
      <c r="L44">
        <v>28.564364019999999</v>
      </c>
      <c r="M44">
        <v>24701.8</v>
      </c>
      <c r="N44">
        <v>71.435635980000001</v>
      </c>
    </row>
    <row r="45" spans="1:14" x14ac:dyDescent="0.35">
      <c r="A45" t="s">
        <v>85</v>
      </c>
      <c r="B45" t="s">
        <v>15</v>
      </c>
      <c r="C45" t="s">
        <v>86</v>
      </c>
      <c r="D45" t="s">
        <v>17</v>
      </c>
      <c r="E45" t="s">
        <v>61</v>
      </c>
      <c r="F45" t="s">
        <v>19</v>
      </c>
      <c r="G45">
        <v>2007</v>
      </c>
      <c r="H45">
        <v>34129.699999999997</v>
      </c>
      <c r="I45">
        <v>31846</v>
      </c>
      <c r="J45">
        <v>2298.3000000000002</v>
      </c>
      <c r="K45">
        <v>5998.8</v>
      </c>
      <c r="L45">
        <v>17.576480310000001</v>
      </c>
      <c r="M45">
        <v>28130.9</v>
      </c>
      <c r="N45">
        <v>82.423519690000006</v>
      </c>
    </row>
    <row r="46" spans="1:14" x14ac:dyDescent="0.35">
      <c r="A46" t="s">
        <v>87</v>
      </c>
      <c r="B46" t="s">
        <v>15</v>
      </c>
      <c r="C46" t="s">
        <v>22</v>
      </c>
      <c r="D46" t="s">
        <v>25</v>
      </c>
      <c r="E46" t="s">
        <v>26</v>
      </c>
      <c r="F46" t="s">
        <v>19</v>
      </c>
      <c r="G46">
        <v>2016</v>
      </c>
      <c r="H46">
        <v>33620.699999999997</v>
      </c>
      <c r="I46">
        <v>14022.5</v>
      </c>
      <c r="J46">
        <v>19614.7</v>
      </c>
      <c r="K46">
        <v>9406.6</v>
      </c>
      <c r="L46">
        <v>27.97859652</v>
      </c>
      <c r="M46">
        <v>24214.1</v>
      </c>
      <c r="N46">
        <v>72.021403480000004</v>
      </c>
    </row>
    <row r="47" spans="1:14" x14ac:dyDescent="0.35">
      <c r="A47" t="s">
        <v>88</v>
      </c>
      <c r="B47" t="s">
        <v>79</v>
      </c>
      <c r="C47" t="s">
        <v>22</v>
      </c>
      <c r="D47" t="s">
        <v>17</v>
      </c>
      <c r="E47" t="s">
        <v>52</v>
      </c>
      <c r="F47" t="s">
        <v>49</v>
      </c>
      <c r="G47">
        <v>2000</v>
      </c>
      <c r="H47">
        <v>33224.699999999997</v>
      </c>
      <c r="I47">
        <v>31426.6</v>
      </c>
      <c r="J47">
        <v>1798.1</v>
      </c>
      <c r="K47">
        <v>30151.200000000001</v>
      </c>
      <c r="L47">
        <v>90.749352139999999</v>
      </c>
      <c r="M47">
        <v>3073.5</v>
      </c>
      <c r="N47">
        <v>9.2506478609999991</v>
      </c>
    </row>
    <row r="48" spans="1:14" x14ac:dyDescent="0.35">
      <c r="A48" t="s">
        <v>89</v>
      </c>
      <c r="B48" t="s">
        <v>15</v>
      </c>
      <c r="C48" t="s">
        <v>90</v>
      </c>
      <c r="D48" t="s">
        <v>25</v>
      </c>
      <c r="E48" t="s">
        <v>91</v>
      </c>
      <c r="F48" t="s">
        <v>19</v>
      </c>
      <c r="G48">
        <v>2020</v>
      </c>
      <c r="H48">
        <v>33179.800000000003</v>
      </c>
      <c r="I48">
        <v>18699.099999999999</v>
      </c>
      <c r="J48">
        <v>14501.2</v>
      </c>
      <c r="K48">
        <v>3938.3</v>
      </c>
      <c r="L48">
        <v>11.86957125</v>
      </c>
      <c r="M48">
        <v>29241.5</v>
      </c>
      <c r="N48">
        <v>88.130428749999993</v>
      </c>
    </row>
    <row r="49" spans="1:14" x14ac:dyDescent="0.35">
      <c r="A49" t="s">
        <v>92</v>
      </c>
      <c r="B49" t="s">
        <v>15</v>
      </c>
      <c r="C49" t="s">
        <v>22</v>
      </c>
      <c r="D49" t="s">
        <v>17</v>
      </c>
      <c r="E49" t="s">
        <v>18</v>
      </c>
      <c r="F49" t="s">
        <v>19</v>
      </c>
      <c r="G49">
        <v>2007</v>
      </c>
      <c r="H49">
        <v>32200.9</v>
      </c>
      <c r="I49">
        <v>24334.7</v>
      </c>
      <c r="J49">
        <v>7876.1</v>
      </c>
      <c r="K49">
        <v>18999.5</v>
      </c>
      <c r="L49">
        <v>59.003009230000004</v>
      </c>
      <c r="M49">
        <v>13201.4</v>
      </c>
      <c r="N49">
        <v>40.996990769999996</v>
      </c>
    </row>
    <row r="50" spans="1:14" x14ac:dyDescent="0.35">
      <c r="A50" t="s">
        <v>93</v>
      </c>
      <c r="B50" t="s">
        <v>15</v>
      </c>
      <c r="C50" t="s">
        <v>22</v>
      </c>
      <c r="D50" t="s">
        <v>17</v>
      </c>
      <c r="E50" t="s">
        <v>18</v>
      </c>
      <c r="F50" t="s">
        <v>19</v>
      </c>
      <c r="G50">
        <v>2014</v>
      </c>
      <c r="H50">
        <v>32115.9</v>
      </c>
      <c r="I50">
        <v>21117.5</v>
      </c>
      <c r="J50">
        <v>11006.6</v>
      </c>
      <c r="K50">
        <v>16803.2</v>
      </c>
      <c r="L50">
        <v>52.32050168</v>
      </c>
      <c r="M50">
        <v>15312.7</v>
      </c>
      <c r="N50">
        <v>47.67949832</v>
      </c>
    </row>
    <row r="51" spans="1:14" x14ac:dyDescent="0.35">
      <c r="A51" t="s">
        <v>94</v>
      </c>
      <c r="B51" t="s">
        <v>21</v>
      </c>
      <c r="C51" t="s">
        <v>95</v>
      </c>
      <c r="D51" t="s">
        <v>17</v>
      </c>
      <c r="E51" t="s">
        <v>23</v>
      </c>
      <c r="F51" t="s">
        <v>19</v>
      </c>
      <c r="G51">
        <v>1997</v>
      </c>
      <c r="H51">
        <v>31642.1</v>
      </c>
      <c r="I51">
        <v>21063.200000000001</v>
      </c>
      <c r="J51">
        <v>10588.2</v>
      </c>
      <c r="K51">
        <v>15741.1</v>
      </c>
      <c r="L51">
        <v>49.747330300000002</v>
      </c>
      <c r="M51">
        <v>15901</v>
      </c>
      <c r="N51">
        <v>50.252669699999998</v>
      </c>
    </row>
    <row r="52" spans="1:14" x14ac:dyDescent="0.35">
      <c r="A52" t="s">
        <v>96</v>
      </c>
      <c r="B52" t="s">
        <v>21</v>
      </c>
      <c r="C52" t="s">
        <v>22</v>
      </c>
      <c r="D52" t="s">
        <v>17</v>
      </c>
      <c r="E52" t="s">
        <v>23</v>
      </c>
      <c r="F52" t="s">
        <v>19</v>
      </c>
      <c r="G52">
        <v>2012</v>
      </c>
      <c r="H52">
        <v>31214.3</v>
      </c>
      <c r="I52">
        <v>25574.2</v>
      </c>
      <c r="J52">
        <v>5650.9</v>
      </c>
      <c r="K52">
        <v>18797.099999999999</v>
      </c>
      <c r="L52">
        <v>60.219514770000004</v>
      </c>
      <c r="M52">
        <v>12417.2</v>
      </c>
      <c r="N52">
        <v>39.780485229999996</v>
      </c>
    </row>
    <row r="53" spans="1:14" x14ac:dyDescent="0.35">
      <c r="A53" t="s">
        <v>97</v>
      </c>
      <c r="B53" t="s">
        <v>21</v>
      </c>
      <c r="C53" t="s">
        <v>43</v>
      </c>
      <c r="D53" t="s">
        <v>25</v>
      </c>
      <c r="E53" t="s">
        <v>83</v>
      </c>
      <c r="F53" t="s">
        <v>19</v>
      </c>
      <c r="G53">
        <v>1991</v>
      </c>
      <c r="H53">
        <v>31212.400000000001</v>
      </c>
      <c r="I53">
        <v>24041</v>
      </c>
      <c r="J53">
        <v>7171.5</v>
      </c>
      <c r="K53">
        <v>11661.1</v>
      </c>
      <c r="L53">
        <v>37.360472119999997</v>
      </c>
      <c r="M53">
        <v>19551.3</v>
      </c>
      <c r="N53">
        <v>62.639527880000003</v>
      </c>
    </row>
    <row r="54" spans="1:14" x14ac:dyDescent="0.35">
      <c r="A54" t="s">
        <v>98</v>
      </c>
      <c r="B54" t="s">
        <v>15</v>
      </c>
      <c r="C54" t="s">
        <v>22</v>
      </c>
      <c r="D54" t="s">
        <v>17</v>
      </c>
      <c r="E54" t="s">
        <v>99</v>
      </c>
      <c r="F54" t="s">
        <v>19</v>
      </c>
      <c r="G54">
        <v>2014</v>
      </c>
      <c r="H54">
        <v>31171.1</v>
      </c>
      <c r="I54">
        <v>26589.9</v>
      </c>
      <c r="J54">
        <v>4600.3999999999996</v>
      </c>
      <c r="K54">
        <v>23825.8</v>
      </c>
      <c r="L54">
        <v>76.435544460000003</v>
      </c>
      <c r="M54">
        <v>7345.3</v>
      </c>
      <c r="N54">
        <v>23.564455540000001</v>
      </c>
    </row>
    <row r="55" spans="1:14" x14ac:dyDescent="0.35">
      <c r="A55" t="s">
        <v>100</v>
      </c>
      <c r="B55" t="s">
        <v>15</v>
      </c>
      <c r="C55" t="s">
        <v>22</v>
      </c>
      <c r="D55" t="s">
        <v>17</v>
      </c>
      <c r="E55" t="s">
        <v>18</v>
      </c>
      <c r="F55" t="s">
        <v>19</v>
      </c>
      <c r="G55">
        <v>2011</v>
      </c>
      <c r="H55">
        <v>30933.8</v>
      </c>
      <c r="I55">
        <v>10464.200000000001</v>
      </c>
      <c r="J55">
        <v>20472.3</v>
      </c>
      <c r="K55">
        <v>2792.1</v>
      </c>
      <c r="L55">
        <v>9.0260491760000008</v>
      </c>
      <c r="M55">
        <v>28141.7</v>
      </c>
      <c r="N55">
        <v>90.973950819999999</v>
      </c>
    </row>
    <row r="56" spans="1:14" x14ac:dyDescent="0.35">
      <c r="A56" t="s">
        <v>101</v>
      </c>
      <c r="B56" t="s">
        <v>15</v>
      </c>
      <c r="C56" t="s">
        <v>22</v>
      </c>
      <c r="D56" t="s">
        <v>25</v>
      </c>
      <c r="E56" t="s">
        <v>26</v>
      </c>
      <c r="F56" t="s">
        <v>19</v>
      </c>
      <c r="G56">
        <v>2009</v>
      </c>
      <c r="H56">
        <v>29775.3</v>
      </c>
      <c r="I56">
        <v>8548.7000000000007</v>
      </c>
      <c r="J56">
        <v>21237.200000000001</v>
      </c>
      <c r="K56">
        <v>4615.8999999999996</v>
      </c>
      <c r="L56">
        <v>15.50244666</v>
      </c>
      <c r="M56">
        <v>25159.4</v>
      </c>
      <c r="N56">
        <v>84.497553339999996</v>
      </c>
    </row>
    <row r="57" spans="1:14" x14ac:dyDescent="0.35">
      <c r="A57" t="s">
        <v>102</v>
      </c>
      <c r="B57" t="s">
        <v>15</v>
      </c>
      <c r="C57" t="s">
        <v>16</v>
      </c>
      <c r="D57" t="s">
        <v>17</v>
      </c>
      <c r="E57" t="s">
        <v>23</v>
      </c>
      <c r="F57" t="s">
        <v>19</v>
      </c>
      <c r="G57">
        <v>2014</v>
      </c>
      <c r="H57">
        <v>29471.1</v>
      </c>
      <c r="I57">
        <v>28781</v>
      </c>
      <c r="J57">
        <v>699</v>
      </c>
      <c r="K57">
        <v>22074.9</v>
      </c>
      <c r="L57">
        <v>74.903549580000004</v>
      </c>
      <c r="M57">
        <v>7396.2</v>
      </c>
      <c r="N57">
        <v>25.09645042</v>
      </c>
    </row>
    <row r="58" spans="1:14" x14ac:dyDescent="0.35">
      <c r="A58" t="s">
        <v>103</v>
      </c>
      <c r="B58" t="s">
        <v>15</v>
      </c>
      <c r="C58" t="s">
        <v>34</v>
      </c>
      <c r="D58" t="s">
        <v>17</v>
      </c>
      <c r="E58" t="s">
        <v>23</v>
      </c>
      <c r="F58" t="s">
        <v>19</v>
      </c>
      <c r="G58">
        <v>2010</v>
      </c>
      <c r="H58">
        <v>29449</v>
      </c>
      <c r="I58">
        <v>29462.799999999999</v>
      </c>
      <c r="J58">
        <v>0</v>
      </c>
      <c r="K58">
        <v>29449</v>
      </c>
      <c r="L58">
        <v>100</v>
      </c>
      <c r="M58">
        <v>0</v>
      </c>
      <c r="N58">
        <v>0</v>
      </c>
    </row>
    <row r="59" spans="1:14" x14ac:dyDescent="0.35">
      <c r="A59" t="s">
        <v>104</v>
      </c>
      <c r="B59" t="s">
        <v>15</v>
      </c>
      <c r="C59" t="s">
        <v>34</v>
      </c>
      <c r="D59" t="s">
        <v>17</v>
      </c>
      <c r="E59" t="s">
        <v>52</v>
      </c>
      <c r="F59" t="s">
        <v>49</v>
      </c>
      <c r="G59">
        <v>1973</v>
      </c>
      <c r="H59">
        <v>29370</v>
      </c>
      <c r="I59">
        <v>29307.599999999999</v>
      </c>
      <c r="J59">
        <v>70.8</v>
      </c>
      <c r="K59">
        <v>26931.7</v>
      </c>
      <c r="L59">
        <v>91.697991149999993</v>
      </c>
      <c r="M59">
        <v>2438.3000000000002</v>
      </c>
      <c r="N59">
        <v>8.3020088530000002</v>
      </c>
    </row>
    <row r="60" spans="1:14" x14ac:dyDescent="0.35">
      <c r="A60" t="s">
        <v>105</v>
      </c>
      <c r="B60" t="s">
        <v>15</v>
      </c>
      <c r="C60" t="s">
        <v>34</v>
      </c>
      <c r="D60" t="s">
        <v>17</v>
      </c>
      <c r="E60" t="s">
        <v>23</v>
      </c>
      <c r="F60" t="s">
        <v>19</v>
      </c>
      <c r="G60">
        <v>2012</v>
      </c>
      <c r="H60">
        <v>29197.200000000001</v>
      </c>
      <c r="I60">
        <v>24125.8</v>
      </c>
      <c r="J60">
        <v>5078.3</v>
      </c>
      <c r="K60">
        <v>17995.2</v>
      </c>
      <c r="L60">
        <v>61.633307299999998</v>
      </c>
      <c r="M60">
        <v>11202</v>
      </c>
      <c r="N60">
        <v>38.366692700000002</v>
      </c>
    </row>
    <row r="61" spans="1:14" x14ac:dyDescent="0.35">
      <c r="A61" t="s">
        <v>106</v>
      </c>
      <c r="B61" t="s">
        <v>79</v>
      </c>
      <c r="C61" t="s">
        <v>34</v>
      </c>
      <c r="D61" t="s">
        <v>17</v>
      </c>
      <c r="E61" t="s">
        <v>23</v>
      </c>
      <c r="F61" t="s">
        <v>49</v>
      </c>
      <c r="G61">
        <v>2011</v>
      </c>
      <c r="H61">
        <v>28889.5</v>
      </c>
      <c r="I61">
        <v>28898.2</v>
      </c>
      <c r="J61">
        <v>0</v>
      </c>
      <c r="K61">
        <v>28801.9</v>
      </c>
      <c r="L61">
        <v>99.696775650000006</v>
      </c>
      <c r="M61">
        <v>87.6</v>
      </c>
      <c r="N61">
        <v>0.30322435489999999</v>
      </c>
    </row>
    <row r="62" spans="1:14" x14ac:dyDescent="0.35">
      <c r="A62" t="s">
        <v>107</v>
      </c>
      <c r="B62" t="s">
        <v>15</v>
      </c>
      <c r="C62" t="s">
        <v>22</v>
      </c>
      <c r="D62" t="s">
        <v>17</v>
      </c>
      <c r="E62" t="s">
        <v>18</v>
      </c>
      <c r="F62" t="s">
        <v>19</v>
      </c>
      <c r="G62">
        <v>2013</v>
      </c>
      <c r="H62">
        <v>28848.7</v>
      </c>
      <c r="I62">
        <v>13945.2</v>
      </c>
      <c r="J62">
        <v>14911.9</v>
      </c>
      <c r="K62">
        <v>119.7</v>
      </c>
      <c r="L62">
        <v>0.41492337610000002</v>
      </c>
      <c r="M62">
        <v>28729</v>
      </c>
      <c r="N62">
        <v>99.585076619999995</v>
      </c>
    </row>
    <row r="63" spans="1:14" x14ac:dyDescent="0.35">
      <c r="A63" t="s">
        <v>108</v>
      </c>
      <c r="B63" t="s">
        <v>21</v>
      </c>
      <c r="C63" t="s">
        <v>22</v>
      </c>
      <c r="D63" t="s">
        <v>17</v>
      </c>
      <c r="E63" t="s">
        <v>23</v>
      </c>
      <c r="F63" t="s">
        <v>19</v>
      </c>
      <c r="G63">
        <v>2021</v>
      </c>
      <c r="H63">
        <v>28799.7</v>
      </c>
      <c r="I63">
        <v>28797.599999999999</v>
      </c>
      <c r="J63">
        <v>2.2000000000000002</v>
      </c>
      <c r="K63">
        <v>26750.5</v>
      </c>
      <c r="L63">
        <v>92.884648100000007</v>
      </c>
      <c r="M63">
        <v>2049.1999999999998</v>
      </c>
      <c r="N63">
        <v>7.115351896</v>
      </c>
    </row>
    <row r="64" spans="1:14" x14ac:dyDescent="0.35">
      <c r="A64" t="s">
        <v>109</v>
      </c>
      <c r="B64" t="s">
        <v>21</v>
      </c>
      <c r="C64" t="s">
        <v>34</v>
      </c>
      <c r="D64" t="s">
        <v>17</v>
      </c>
      <c r="E64" t="s">
        <v>23</v>
      </c>
      <c r="F64" t="s">
        <v>19</v>
      </c>
      <c r="G64">
        <v>2008</v>
      </c>
      <c r="H64">
        <v>28690.5</v>
      </c>
      <c r="I64">
        <v>28699.5</v>
      </c>
      <c r="J64">
        <v>0</v>
      </c>
      <c r="K64">
        <v>28537.7</v>
      </c>
      <c r="L64">
        <v>99.467419530000001</v>
      </c>
      <c r="M64">
        <v>152.80000000000001</v>
      </c>
      <c r="N64">
        <v>0.53258047090000005</v>
      </c>
    </row>
    <row r="65" spans="1:14" x14ac:dyDescent="0.35">
      <c r="A65" t="s">
        <v>110</v>
      </c>
      <c r="B65" t="s">
        <v>15</v>
      </c>
      <c r="C65" t="s">
        <v>72</v>
      </c>
      <c r="D65" t="s">
        <v>73</v>
      </c>
      <c r="E65" t="s">
        <v>23</v>
      </c>
      <c r="F65" t="s">
        <v>19</v>
      </c>
      <c r="G65">
        <v>2001</v>
      </c>
      <c r="H65">
        <v>28543.9</v>
      </c>
      <c r="I65">
        <v>25181.4</v>
      </c>
      <c r="J65">
        <v>3362.5</v>
      </c>
      <c r="K65">
        <v>11.7</v>
      </c>
      <c r="L65">
        <v>4.0989493379999999E-2</v>
      </c>
      <c r="M65">
        <v>28532.2</v>
      </c>
      <c r="N65">
        <v>99.959010509999999</v>
      </c>
    </row>
    <row r="66" spans="1:14" x14ac:dyDescent="0.35">
      <c r="A66" t="s">
        <v>111</v>
      </c>
      <c r="B66" t="s">
        <v>21</v>
      </c>
      <c r="C66" t="s">
        <v>22</v>
      </c>
      <c r="D66" t="s">
        <v>17</v>
      </c>
      <c r="E66" t="s">
        <v>23</v>
      </c>
      <c r="F66" t="s">
        <v>19</v>
      </c>
      <c r="G66">
        <v>2001</v>
      </c>
      <c r="H66">
        <v>28248</v>
      </c>
      <c r="I66">
        <v>25287.5</v>
      </c>
      <c r="J66">
        <v>2977.8</v>
      </c>
      <c r="K66">
        <v>19629.7</v>
      </c>
      <c r="L66">
        <v>69.490583400000006</v>
      </c>
      <c r="M66">
        <v>8618.2999999999993</v>
      </c>
      <c r="N66">
        <v>30.509416600000002</v>
      </c>
    </row>
    <row r="67" spans="1:14" x14ac:dyDescent="0.35">
      <c r="A67" t="s">
        <v>112</v>
      </c>
      <c r="B67" t="s">
        <v>15</v>
      </c>
      <c r="C67" t="s">
        <v>22</v>
      </c>
      <c r="D67" t="s">
        <v>17</v>
      </c>
      <c r="E67" t="s">
        <v>18</v>
      </c>
      <c r="F67" t="s">
        <v>19</v>
      </c>
      <c r="G67">
        <v>2013</v>
      </c>
      <c r="H67">
        <v>28195.8</v>
      </c>
      <c r="I67">
        <v>12491.3</v>
      </c>
      <c r="J67">
        <v>15715.6</v>
      </c>
      <c r="K67">
        <v>7949.8</v>
      </c>
      <c r="L67">
        <v>28.19497939</v>
      </c>
      <c r="M67">
        <v>20246</v>
      </c>
      <c r="N67">
        <v>71.80502061</v>
      </c>
    </row>
    <row r="68" spans="1:14" x14ac:dyDescent="0.35">
      <c r="A68" t="s">
        <v>113</v>
      </c>
      <c r="B68" t="s">
        <v>15</v>
      </c>
      <c r="C68" t="s">
        <v>34</v>
      </c>
      <c r="D68" t="s">
        <v>17</v>
      </c>
      <c r="E68" t="s">
        <v>52</v>
      </c>
      <c r="F68" t="s">
        <v>49</v>
      </c>
      <c r="G68">
        <v>2005</v>
      </c>
      <c r="H68">
        <v>28155.4</v>
      </c>
      <c r="I68">
        <v>28166.2</v>
      </c>
      <c r="J68">
        <v>0</v>
      </c>
      <c r="K68">
        <v>28130.400000000001</v>
      </c>
      <c r="L68">
        <v>99.911207090000005</v>
      </c>
      <c r="M68">
        <v>25</v>
      </c>
      <c r="N68">
        <v>8.8792913619999997E-2</v>
      </c>
    </row>
    <row r="69" spans="1:14" x14ac:dyDescent="0.35">
      <c r="A69" t="s">
        <v>114</v>
      </c>
      <c r="B69" t="s">
        <v>15</v>
      </c>
      <c r="C69" t="s">
        <v>22</v>
      </c>
      <c r="D69" t="s">
        <v>25</v>
      </c>
      <c r="E69" t="s">
        <v>83</v>
      </c>
      <c r="F69" t="s">
        <v>49</v>
      </c>
      <c r="G69">
        <v>2018</v>
      </c>
      <c r="H69">
        <v>27466.799999999999</v>
      </c>
      <c r="I69">
        <v>19814.7</v>
      </c>
      <c r="J69">
        <v>7652.1</v>
      </c>
      <c r="K69">
        <v>11576.2</v>
      </c>
      <c r="L69">
        <v>42.146154629999998</v>
      </c>
      <c r="M69">
        <v>15890.6</v>
      </c>
      <c r="N69">
        <v>57.853845370000002</v>
      </c>
    </row>
    <row r="70" spans="1:14" x14ac:dyDescent="0.35">
      <c r="A70" t="s">
        <v>115</v>
      </c>
      <c r="B70" t="s">
        <v>15</v>
      </c>
      <c r="C70" t="s">
        <v>90</v>
      </c>
      <c r="D70" t="s">
        <v>25</v>
      </c>
      <c r="E70" t="s">
        <v>91</v>
      </c>
      <c r="F70" t="s">
        <v>19</v>
      </c>
      <c r="G70">
        <v>2019</v>
      </c>
      <c r="H70">
        <v>27406.799999999999</v>
      </c>
      <c r="I70">
        <v>18341.2</v>
      </c>
      <c r="J70">
        <v>9084.4</v>
      </c>
      <c r="K70">
        <v>13658.7</v>
      </c>
      <c r="L70">
        <v>49.836901789999999</v>
      </c>
      <c r="M70">
        <v>13748.1</v>
      </c>
      <c r="N70">
        <v>50.163098210000001</v>
      </c>
    </row>
    <row r="71" spans="1:14" x14ac:dyDescent="0.35">
      <c r="A71" t="s">
        <v>116</v>
      </c>
      <c r="B71" t="s">
        <v>15</v>
      </c>
      <c r="C71" t="s">
        <v>22</v>
      </c>
      <c r="D71" t="s">
        <v>17</v>
      </c>
      <c r="E71" t="s">
        <v>18</v>
      </c>
      <c r="F71" t="s">
        <v>19</v>
      </c>
      <c r="G71">
        <v>2009</v>
      </c>
      <c r="H71">
        <v>27125.8</v>
      </c>
      <c r="I71">
        <v>23925.9</v>
      </c>
      <c r="J71">
        <v>3208.7</v>
      </c>
      <c r="K71">
        <v>11656.5</v>
      </c>
      <c r="L71">
        <v>42.972004509999998</v>
      </c>
      <c r="M71">
        <v>15469.3</v>
      </c>
      <c r="N71">
        <v>57.027995490000002</v>
      </c>
    </row>
    <row r="72" spans="1:14" x14ac:dyDescent="0.35">
      <c r="A72" t="s">
        <v>117</v>
      </c>
      <c r="B72" t="s">
        <v>21</v>
      </c>
      <c r="C72" t="s">
        <v>22</v>
      </c>
      <c r="D72" t="s">
        <v>17</v>
      </c>
      <c r="E72" t="s">
        <v>23</v>
      </c>
      <c r="F72" t="s">
        <v>19</v>
      </c>
      <c r="G72">
        <v>2008</v>
      </c>
      <c r="H72">
        <v>26895.1</v>
      </c>
      <c r="I72">
        <v>16017.5</v>
      </c>
      <c r="J72">
        <v>10884.4</v>
      </c>
      <c r="K72">
        <v>10921.5</v>
      </c>
      <c r="L72">
        <v>40.607768700000001</v>
      </c>
      <c r="M72">
        <v>15973.6</v>
      </c>
      <c r="N72">
        <v>59.392231299999999</v>
      </c>
    </row>
    <row r="73" spans="1:14" x14ac:dyDescent="0.35">
      <c r="A73" t="s">
        <v>118</v>
      </c>
      <c r="B73" t="s">
        <v>15</v>
      </c>
      <c r="C73" t="s">
        <v>22</v>
      </c>
      <c r="D73" t="s">
        <v>17</v>
      </c>
      <c r="E73" t="s">
        <v>28</v>
      </c>
      <c r="F73" t="s">
        <v>19</v>
      </c>
      <c r="G73">
        <v>2011</v>
      </c>
      <c r="H73">
        <v>26465.200000000001</v>
      </c>
      <c r="I73">
        <v>5073.8</v>
      </c>
      <c r="J73">
        <v>21394.799999999999</v>
      </c>
      <c r="K73">
        <v>318.39999999999998</v>
      </c>
      <c r="L73">
        <v>1.20308934</v>
      </c>
      <c r="M73">
        <v>26146.799999999999</v>
      </c>
      <c r="N73">
        <v>98.796910659999995</v>
      </c>
    </row>
    <row r="74" spans="1:14" x14ac:dyDescent="0.35">
      <c r="A74" t="s">
        <v>119</v>
      </c>
      <c r="B74" t="s">
        <v>15</v>
      </c>
      <c r="C74" t="s">
        <v>34</v>
      </c>
      <c r="D74" t="s">
        <v>17</v>
      </c>
      <c r="E74" t="s">
        <v>52</v>
      </c>
      <c r="F74" t="s">
        <v>49</v>
      </c>
      <c r="G74">
        <v>1962</v>
      </c>
      <c r="H74">
        <v>26130.5</v>
      </c>
      <c r="I74">
        <v>26138.7</v>
      </c>
      <c r="J74">
        <v>2.2000000000000002</v>
      </c>
      <c r="K74">
        <v>26123</v>
      </c>
      <c r="L74">
        <v>99.971297910000004</v>
      </c>
      <c r="M74">
        <v>7.5</v>
      </c>
      <c r="N74">
        <v>2.870209143E-2</v>
      </c>
    </row>
    <row r="75" spans="1:14" x14ac:dyDescent="0.35">
      <c r="A75" t="s">
        <v>120</v>
      </c>
      <c r="B75" t="s">
        <v>15</v>
      </c>
      <c r="C75" t="s">
        <v>22</v>
      </c>
      <c r="D75" t="s">
        <v>17</v>
      </c>
      <c r="E75" t="s">
        <v>23</v>
      </c>
      <c r="F75" t="s">
        <v>19</v>
      </c>
      <c r="G75">
        <v>2004</v>
      </c>
      <c r="H75">
        <v>25875.8</v>
      </c>
      <c r="I75">
        <v>18250.900000000001</v>
      </c>
      <c r="J75">
        <v>7641</v>
      </c>
      <c r="K75">
        <v>2321.6999999999998</v>
      </c>
      <c r="L75">
        <v>8.9724762130000002</v>
      </c>
      <c r="M75">
        <v>23554.1</v>
      </c>
      <c r="N75">
        <v>91.027523790000004</v>
      </c>
    </row>
    <row r="76" spans="1:14" x14ac:dyDescent="0.35">
      <c r="A76" t="s">
        <v>121</v>
      </c>
      <c r="B76" t="s">
        <v>15</v>
      </c>
      <c r="C76" t="s">
        <v>22</v>
      </c>
      <c r="D76" t="s">
        <v>25</v>
      </c>
      <c r="E76" t="s">
        <v>26</v>
      </c>
      <c r="F76" t="s">
        <v>19</v>
      </c>
      <c r="G76">
        <v>1995</v>
      </c>
      <c r="H76">
        <v>25875.4</v>
      </c>
      <c r="I76">
        <v>11175.4</v>
      </c>
      <c r="J76">
        <v>14672</v>
      </c>
      <c r="K76">
        <v>2972.5</v>
      </c>
      <c r="L76">
        <v>11.48774512</v>
      </c>
      <c r="M76">
        <v>22902.9</v>
      </c>
      <c r="N76">
        <v>88.51225488</v>
      </c>
    </row>
    <row r="77" spans="1:14" x14ac:dyDescent="0.35">
      <c r="A77" t="s">
        <v>122</v>
      </c>
      <c r="B77" t="s">
        <v>15</v>
      </c>
      <c r="C77" t="s">
        <v>22</v>
      </c>
      <c r="D77" t="s">
        <v>17</v>
      </c>
      <c r="E77" t="s">
        <v>18</v>
      </c>
      <c r="F77" t="s">
        <v>19</v>
      </c>
      <c r="G77">
        <v>2011</v>
      </c>
      <c r="H77">
        <v>25818.400000000001</v>
      </c>
      <c r="I77">
        <v>15382.2</v>
      </c>
      <c r="J77">
        <v>10446.9</v>
      </c>
      <c r="K77">
        <v>10109.799999999999</v>
      </c>
      <c r="L77">
        <v>39.157345149999998</v>
      </c>
      <c r="M77">
        <v>15708.6</v>
      </c>
      <c r="N77">
        <v>60.842654850000002</v>
      </c>
    </row>
    <row r="78" spans="1:14" x14ac:dyDescent="0.35">
      <c r="A78" t="s">
        <v>123</v>
      </c>
      <c r="B78" t="s">
        <v>21</v>
      </c>
      <c r="C78" t="s">
        <v>22</v>
      </c>
      <c r="D78" t="s">
        <v>17</v>
      </c>
      <c r="E78" t="s">
        <v>23</v>
      </c>
      <c r="F78" t="s">
        <v>19</v>
      </c>
      <c r="G78">
        <v>2014</v>
      </c>
      <c r="H78">
        <v>25687.5</v>
      </c>
      <c r="I78">
        <v>13902.2</v>
      </c>
      <c r="J78">
        <v>11792.3</v>
      </c>
      <c r="K78">
        <v>12376.1</v>
      </c>
      <c r="L78">
        <v>48.179464719999999</v>
      </c>
      <c r="M78">
        <v>13311.4</v>
      </c>
      <c r="N78">
        <v>51.820535280000001</v>
      </c>
    </row>
    <row r="79" spans="1:14" x14ac:dyDescent="0.35">
      <c r="A79" t="s">
        <v>124</v>
      </c>
      <c r="B79" t="s">
        <v>15</v>
      </c>
      <c r="C79" t="s">
        <v>22</v>
      </c>
      <c r="D79" t="s">
        <v>17</v>
      </c>
      <c r="E79" t="s">
        <v>18</v>
      </c>
      <c r="F79" t="s">
        <v>19</v>
      </c>
      <c r="G79">
        <v>2006</v>
      </c>
      <c r="H79">
        <v>25289.9</v>
      </c>
      <c r="I79">
        <v>11748.9</v>
      </c>
      <c r="J79">
        <v>13549.3</v>
      </c>
      <c r="K79">
        <v>4844.5</v>
      </c>
      <c r="L79">
        <v>19.155868550000001</v>
      </c>
      <c r="M79">
        <v>20445.400000000001</v>
      </c>
      <c r="N79">
        <v>80.844131450000006</v>
      </c>
    </row>
    <row r="80" spans="1:14" x14ac:dyDescent="0.35">
      <c r="A80" t="s">
        <v>125</v>
      </c>
      <c r="B80" t="s">
        <v>15</v>
      </c>
      <c r="C80" t="s">
        <v>22</v>
      </c>
      <c r="D80" t="s">
        <v>17</v>
      </c>
      <c r="E80" t="s">
        <v>23</v>
      </c>
      <c r="F80" t="s">
        <v>19</v>
      </c>
      <c r="G80">
        <v>1964</v>
      </c>
      <c r="H80">
        <v>25264.400000000001</v>
      </c>
      <c r="I80">
        <v>24355.5</v>
      </c>
      <c r="J80">
        <v>908.9</v>
      </c>
      <c r="K80">
        <v>22915.3</v>
      </c>
      <c r="L80">
        <v>90.701936320000002</v>
      </c>
      <c r="M80">
        <v>2349.1</v>
      </c>
      <c r="N80">
        <v>9.2980636790000002</v>
      </c>
    </row>
    <row r="81" spans="1:14" x14ac:dyDescent="0.35">
      <c r="A81" t="s">
        <v>126</v>
      </c>
      <c r="B81" t="s">
        <v>21</v>
      </c>
      <c r="C81" t="s">
        <v>22</v>
      </c>
      <c r="D81" t="s">
        <v>17</v>
      </c>
      <c r="E81" t="s">
        <v>23</v>
      </c>
      <c r="F81" t="s">
        <v>19</v>
      </c>
      <c r="G81">
        <v>2014</v>
      </c>
      <c r="H81">
        <v>24888.6</v>
      </c>
      <c r="I81">
        <v>22789.599999999999</v>
      </c>
      <c r="J81">
        <v>2114.3000000000002</v>
      </c>
      <c r="K81">
        <v>22549.4</v>
      </c>
      <c r="L81">
        <v>90.601319480000001</v>
      </c>
      <c r="M81">
        <v>2339.1999999999998</v>
      </c>
      <c r="N81">
        <v>9.3986805199999992</v>
      </c>
    </row>
    <row r="82" spans="1:14" x14ac:dyDescent="0.35">
      <c r="A82" t="s">
        <v>127</v>
      </c>
      <c r="B82" t="s">
        <v>15</v>
      </c>
      <c r="C82" t="s">
        <v>22</v>
      </c>
      <c r="D82" t="s">
        <v>17</v>
      </c>
      <c r="E82" t="s">
        <v>28</v>
      </c>
      <c r="F82" t="s">
        <v>19</v>
      </c>
      <c r="G82">
        <v>2011</v>
      </c>
      <c r="H82">
        <v>24807.4</v>
      </c>
      <c r="I82">
        <v>20425.400000000001</v>
      </c>
      <c r="J82">
        <v>4391.5</v>
      </c>
      <c r="K82">
        <v>18809.3</v>
      </c>
      <c r="L82">
        <v>75.821327510000003</v>
      </c>
      <c r="M82">
        <v>5998.1</v>
      </c>
      <c r="N82">
        <v>24.17867249</v>
      </c>
    </row>
    <row r="83" spans="1:14" x14ac:dyDescent="0.35">
      <c r="A83" t="s">
        <v>128</v>
      </c>
      <c r="B83" t="s">
        <v>15</v>
      </c>
      <c r="C83" t="s">
        <v>129</v>
      </c>
      <c r="D83" t="s">
        <v>130</v>
      </c>
      <c r="E83" t="s">
        <v>131</v>
      </c>
      <c r="F83" t="s">
        <v>49</v>
      </c>
      <c r="G83">
        <v>1979</v>
      </c>
      <c r="H83">
        <v>24607</v>
      </c>
      <c r="I83">
        <v>24525.4</v>
      </c>
      <c r="J83">
        <v>81.599999999999994</v>
      </c>
      <c r="K83">
        <v>24410.799999999999</v>
      </c>
      <c r="L83">
        <v>99.202665909999993</v>
      </c>
      <c r="M83">
        <v>196.2</v>
      </c>
      <c r="N83">
        <v>0.79733409190000004</v>
      </c>
    </row>
    <row r="84" spans="1:14" x14ac:dyDescent="0.35">
      <c r="A84" t="s">
        <v>132</v>
      </c>
      <c r="B84" t="s">
        <v>15</v>
      </c>
      <c r="C84" t="s">
        <v>22</v>
      </c>
      <c r="D84" t="s">
        <v>17</v>
      </c>
      <c r="E84" t="s">
        <v>18</v>
      </c>
      <c r="F84" t="s">
        <v>19</v>
      </c>
      <c r="G84">
        <v>1996</v>
      </c>
      <c r="H84">
        <v>24440.1</v>
      </c>
      <c r="I84">
        <v>13311.3</v>
      </c>
      <c r="J84">
        <v>11139.9</v>
      </c>
      <c r="K84">
        <v>2764.3</v>
      </c>
      <c r="L84">
        <v>11.31051019</v>
      </c>
      <c r="M84">
        <v>21675.8</v>
      </c>
      <c r="N84">
        <v>88.689489809999998</v>
      </c>
    </row>
    <row r="85" spans="1:14" x14ac:dyDescent="0.35">
      <c r="A85" t="s">
        <v>133</v>
      </c>
      <c r="B85" t="s">
        <v>15</v>
      </c>
      <c r="C85" t="s">
        <v>22</v>
      </c>
      <c r="D85" t="s">
        <v>17</v>
      </c>
      <c r="E85" t="s">
        <v>18</v>
      </c>
      <c r="F85" t="s">
        <v>19</v>
      </c>
      <c r="G85">
        <v>2011</v>
      </c>
      <c r="H85">
        <v>24217.200000000001</v>
      </c>
      <c r="I85">
        <v>14721.3</v>
      </c>
      <c r="J85">
        <v>9504.2999999999993</v>
      </c>
      <c r="K85">
        <v>6253.7</v>
      </c>
      <c r="L85">
        <v>25.823381730000001</v>
      </c>
      <c r="M85">
        <v>17963.5</v>
      </c>
      <c r="N85">
        <v>74.176618270000006</v>
      </c>
    </row>
    <row r="86" spans="1:14" x14ac:dyDescent="0.35">
      <c r="A86" t="s">
        <v>134</v>
      </c>
      <c r="B86" t="s">
        <v>21</v>
      </c>
      <c r="C86" t="s">
        <v>22</v>
      </c>
      <c r="D86" t="s">
        <v>17</v>
      </c>
      <c r="E86" t="s">
        <v>23</v>
      </c>
      <c r="F86" t="s">
        <v>19</v>
      </c>
      <c r="G86">
        <v>2006</v>
      </c>
      <c r="H86">
        <v>23907.599999999999</v>
      </c>
      <c r="I86">
        <v>20739</v>
      </c>
      <c r="J86">
        <v>3175.7</v>
      </c>
      <c r="K86">
        <v>18453.900000000001</v>
      </c>
      <c r="L86">
        <v>77.188425440000003</v>
      </c>
      <c r="M86">
        <v>5453.7</v>
      </c>
      <c r="N86">
        <v>22.81157456</v>
      </c>
    </row>
    <row r="87" spans="1:14" x14ac:dyDescent="0.35">
      <c r="A87" t="s">
        <v>135</v>
      </c>
      <c r="B87" t="s">
        <v>15</v>
      </c>
      <c r="C87" t="s">
        <v>22</v>
      </c>
      <c r="D87" t="s">
        <v>17</v>
      </c>
      <c r="E87" t="s">
        <v>61</v>
      </c>
      <c r="F87" t="s">
        <v>49</v>
      </c>
      <c r="G87">
        <v>2012</v>
      </c>
      <c r="H87">
        <v>23845.1</v>
      </c>
      <c r="I87">
        <v>22661.5</v>
      </c>
      <c r="J87">
        <v>1189.8</v>
      </c>
      <c r="K87">
        <v>3830.9</v>
      </c>
      <c r="L87">
        <v>16.065774520000002</v>
      </c>
      <c r="M87">
        <v>20014.2</v>
      </c>
      <c r="N87">
        <v>83.934225479999995</v>
      </c>
    </row>
    <row r="88" spans="1:14" x14ac:dyDescent="0.35">
      <c r="A88" t="s">
        <v>136</v>
      </c>
      <c r="B88" t="s">
        <v>15</v>
      </c>
      <c r="C88" t="s">
        <v>22</v>
      </c>
      <c r="D88" t="s">
        <v>17</v>
      </c>
      <c r="E88" t="s">
        <v>61</v>
      </c>
      <c r="F88" t="s">
        <v>19</v>
      </c>
      <c r="G88">
        <v>2015</v>
      </c>
      <c r="H88">
        <v>23705.9</v>
      </c>
      <c r="I88">
        <v>17589.400000000001</v>
      </c>
      <c r="J88">
        <v>6122.5</v>
      </c>
      <c r="K88">
        <v>1704.1</v>
      </c>
      <c r="L88">
        <v>7.1885058150000001</v>
      </c>
      <c r="M88">
        <v>22001.8</v>
      </c>
      <c r="N88">
        <v>92.811494179999997</v>
      </c>
    </row>
    <row r="89" spans="1:14" x14ac:dyDescent="0.35">
      <c r="A89" t="s">
        <v>137</v>
      </c>
      <c r="B89" t="s">
        <v>21</v>
      </c>
      <c r="C89" t="s">
        <v>22</v>
      </c>
      <c r="D89" t="s">
        <v>17</v>
      </c>
      <c r="E89" t="s">
        <v>18</v>
      </c>
      <c r="F89" t="s">
        <v>19</v>
      </c>
      <c r="G89">
        <v>2015</v>
      </c>
      <c r="H89">
        <v>22494.9</v>
      </c>
      <c r="I89">
        <v>10833.6</v>
      </c>
      <c r="J89">
        <v>11666.6</v>
      </c>
      <c r="K89">
        <v>4407.8</v>
      </c>
      <c r="L89">
        <v>19.59466368</v>
      </c>
      <c r="M89">
        <v>18087.099999999999</v>
      </c>
      <c r="N89">
        <v>80.405336320000004</v>
      </c>
    </row>
    <row r="90" spans="1:14" x14ac:dyDescent="0.35">
      <c r="A90" t="s">
        <v>138</v>
      </c>
      <c r="B90" t="s">
        <v>15</v>
      </c>
      <c r="C90" t="s">
        <v>22</v>
      </c>
      <c r="D90" t="s">
        <v>17</v>
      </c>
      <c r="E90" t="s">
        <v>58</v>
      </c>
      <c r="F90" t="s">
        <v>49</v>
      </c>
      <c r="G90">
        <v>2009</v>
      </c>
      <c r="H90">
        <v>22475.8</v>
      </c>
      <c r="I90">
        <v>22215.200000000001</v>
      </c>
      <c r="J90">
        <v>269.10000000000002</v>
      </c>
      <c r="K90">
        <v>22142.6</v>
      </c>
      <c r="L90">
        <v>98.517516619999995</v>
      </c>
      <c r="M90">
        <v>333.2</v>
      </c>
      <c r="N90">
        <v>1.4824833820000001</v>
      </c>
    </row>
    <row r="91" spans="1:14" x14ac:dyDescent="0.35">
      <c r="A91" t="s">
        <v>139</v>
      </c>
      <c r="B91" t="s">
        <v>79</v>
      </c>
      <c r="C91" t="s">
        <v>22</v>
      </c>
      <c r="D91" t="s">
        <v>17</v>
      </c>
      <c r="E91" t="s">
        <v>140</v>
      </c>
      <c r="F91" t="s">
        <v>49</v>
      </c>
      <c r="G91">
        <v>1949</v>
      </c>
      <c r="H91">
        <v>22236.1</v>
      </c>
      <c r="I91">
        <v>287.8</v>
      </c>
      <c r="J91">
        <v>21966.6</v>
      </c>
      <c r="K91">
        <v>0</v>
      </c>
      <c r="L91">
        <v>0</v>
      </c>
      <c r="M91">
        <v>22236.1</v>
      </c>
      <c r="N91">
        <v>100</v>
      </c>
    </row>
    <row r="92" spans="1:14" x14ac:dyDescent="0.35">
      <c r="A92" t="s">
        <v>141</v>
      </c>
      <c r="B92" t="s">
        <v>15</v>
      </c>
      <c r="C92" t="s">
        <v>22</v>
      </c>
      <c r="D92" t="s">
        <v>25</v>
      </c>
      <c r="E92" t="s">
        <v>26</v>
      </c>
      <c r="F92" t="s">
        <v>19</v>
      </c>
      <c r="G92">
        <v>2004</v>
      </c>
      <c r="H92">
        <v>21937.3</v>
      </c>
      <c r="I92">
        <v>8927.4</v>
      </c>
      <c r="J92">
        <v>13023.3</v>
      </c>
      <c r="K92">
        <v>3007</v>
      </c>
      <c r="L92">
        <v>13.70724747</v>
      </c>
      <c r="M92">
        <v>18930.3</v>
      </c>
      <c r="N92">
        <v>86.292752530000001</v>
      </c>
    </row>
    <row r="93" spans="1:14" x14ac:dyDescent="0.35">
      <c r="A93" t="s">
        <v>142</v>
      </c>
      <c r="B93" t="s">
        <v>79</v>
      </c>
      <c r="C93" t="s">
        <v>22</v>
      </c>
      <c r="D93" t="s">
        <v>17</v>
      </c>
      <c r="E93" t="s">
        <v>52</v>
      </c>
      <c r="F93" t="s">
        <v>49</v>
      </c>
      <c r="G93">
        <v>1984</v>
      </c>
      <c r="H93">
        <v>21873.8</v>
      </c>
      <c r="I93">
        <v>21884.2</v>
      </c>
      <c r="J93">
        <v>0</v>
      </c>
      <c r="K93">
        <v>21872.400000000001</v>
      </c>
      <c r="L93">
        <v>99.993599649999993</v>
      </c>
      <c r="M93">
        <v>1.4</v>
      </c>
      <c r="N93">
        <v>6.4003511050000003E-3</v>
      </c>
    </row>
    <row r="94" spans="1:14" x14ac:dyDescent="0.35">
      <c r="A94" t="s">
        <v>143</v>
      </c>
      <c r="B94" t="s">
        <v>21</v>
      </c>
      <c r="C94" t="s">
        <v>144</v>
      </c>
      <c r="D94" t="s">
        <v>17</v>
      </c>
      <c r="E94" t="s">
        <v>23</v>
      </c>
      <c r="F94" t="s">
        <v>19</v>
      </c>
      <c r="G94">
        <v>2012</v>
      </c>
      <c r="H94">
        <v>21546.2</v>
      </c>
      <c r="I94">
        <v>12365.6</v>
      </c>
      <c r="J94">
        <v>9186</v>
      </c>
      <c r="K94">
        <v>6409.3</v>
      </c>
      <c r="L94">
        <v>29.746776690000001</v>
      </c>
      <c r="M94">
        <v>15136.9</v>
      </c>
      <c r="N94">
        <v>70.253223309999996</v>
      </c>
    </row>
    <row r="95" spans="1:14" x14ac:dyDescent="0.35">
      <c r="A95" t="s">
        <v>145</v>
      </c>
      <c r="B95" t="s">
        <v>15</v>
      </c>
      <c r="C95" t="s">
        <v>22</v>
      </c>
      <c r="D95" t="s">
        <v>17</v>
      </c>
      <c r="E95" t="s">
        <v>18</v>
      </c>
      <c r="F95" t="s">
        <v>49</v>
      </c>
      <c r="G95">
        <v>2014</v>
      </c>
      <c r="H95">
        <v>21202.3</v>
      </c>
      <c r="I95">
        <v>20357.3</v>
      </c>
      <c r="J95">
        <v>851.6</v>
      </c>
      <c r="K95">
        <v>16646.900000000001</v>
      </c>
      <c r="L95">
        <v>78.514595110000002</v>
      </c>
      <c r="M95">
        <v>4555.3999999999996</v>
      </c>
      <c r="N95">
        <v>21.485404890000002</v>
      </c>
    </row>
    <row r="96" spans="1:14" x14ac:dyDescent="0.35">
      <c r="A96" t="s">
        <v>146</v>
      </c>
      <c r="B96" t="s">
        <v>79</v>
      </c>
      <c r="C96" t="s">
        <v>22</v>
      </c>
      <c r="D96" t="s">
        <v>17</v>
      </c>
      <c r="E96" t="s">
        <v>23</v>
      </c>
      <c r="F96" t="s">
        <v>49</v>
      </c>
      <c r="G96">
        <v>2007</v>
      </c>
      <c r="H96">
        <v>21182.2</v>
      </c>
      <c r="I96">
        <v>19519.400000000001</v>
      </c>
      <c r="J96">
        <v>1669.7</v>
      </c>
      <c r="K96">
        <v>17506.599999999999</v>
      </c>
      <c r="L96">
        <v>82.647694759999993</v>
      </c>
      <c r="M96">
        <v>3675.6</v>
      </c>
      <c r="N96">
        <v>17.35230524</v>
      </c>
    </row>
    <row r="97" spans="1:14" x14ac:dyDescent="0.35">
      <c r="A97" t="s">
        <v>147</v>
      </c>
      <c r="B97" t="s">
        <v>15</v>
      </c>
      <c r="C97" t="s">
        <v>148</v>
      </c>
      <c r="D97" t="s">
        <v>17</v>
      </c>
      <c r="E97" t="s">
        <v>61</v>
      </c>
      <c r="F97" t="s">
        <v>19</v>
      </c>
      <c r="G97">
        <v>2006</v>
      </c>
      <c r="H97">
        <v>21003.5</v>
      </c>
      <c r="I97">
        <v>20142.3</v>
      </c>
      <c r="J97">
        <v>867.4</v>
      </c>
      <c r="K97">
        <v>14179.7</v>
      </c>
      <c r="L97">
        <v>67.511129100000005</v>
      </c>
      <c r="M97">
        <v>6823.8</v>
      </c>
      <c r="N97">
        <v>32.488870900000002</v>
      </c>
    </row>
    <row r="98" spans="1:14" x14ac:dyDescent="0.35">
      <c r="A98" t="s">
        <v>149</v>
      </c>
      <c r="B98" t="s">
        <v>15</v>
      </c>
      <c r="C98" t="s">
        <v>22</v>
      </c>
      <c r="D98" t="s">
        <v>17</v>
      </c>
      <c r="E98" t="s">
        <v>61</v>
      </c>
      <c r="F98" t="s">
        <v>19</v>
      </c>
      <c r="G98">
        <v>2002</v>
      </c>
      <c r="H98">
        <v>20670.8</v>
      </c>
      <c r="I98">
        <v>5352.4</v>
      </c>
      <c r="J98">
        <v>15318.4</v>
      </c>
      <c r="K98">
        <v>32.5</v>
      </c>
      <c r="L98">
        <v>0.1572266192</v>
      </c>
      <c r="M98">
        <v>20638.3</v>
      </c>
      <c r="N98">
        <v>99.842773379999997</v>
      </c>
    </row>
    <row r="99" spans="1:14" x14ac:dyDescent="0.35">
      <c r="A99" t="s">
        <v>150</v>
      </c>
      <c r="B99" t="s">
        <v>15</v>
      </c>
      <c r="C99" t="s">
        <v>22</v>
      </c>
      <c r="D99" t="s">
        <v>17</v>
      </c>
      <c r="E99" t="s">
        <v>18</v>
      </c>
      <c r="F99" t="s">
        <v>19</v>
      </c>
      <c r="G99">
        <v>1993</v>
      </c>
      <c r="H99">
        <v>20644.8</v>
      </c>
      <c r="I99">
        <v>7762</v>
      </c>
      <c r="J99">
        <v>12890.7</v>
      </c>
      <c r="K99">
        <v>1744.2</v>
      </c>
      <c r="L99">
        <v>8.4486166009999994</v>
      </c>
      <c r="M99">
        <v>18900.599999999999</v>
      </c>
      <c r="N99">
        <v>91.551383400000006</v>
      </c>
    </row>
    <row r="100" spans="1:14" x14ac:dyDescent="0.35">
      <c r="A100" t="s">
        <v>151</v>
      </c>
      <c r="B100" t="s">
        <v>15</v>
      </c>
      <c r="C100" t="s">
        <v>22</v>
      </c>
      <c r="D100" t="s">
        <v>25</v>
      </c>
      <c r="E100" t="s">
        <v>152</v>
      </c>
      <c r="F100" t="s">
        <v>19</v>
      </c>
      <c r="G100">
        <v>2011</v>
      </c>
      <c r="H100">
        <v>20549.2</v>
      </c>
      <c r="I100">
        <v>14249.8</v>
      </c>
      <c r="J100">
        <v>6311</v>
      </c>
      <c r="K100">
        <v>8225.7000000000007</v>
      </c>
      <c r="L100">
        <v>40.02929554</v>
      </c>
      <c r="M100">
        <v>12323.5</v>
      </c>
      <c r="N100">
        <v>59.97070446</v>
      </c>
    </row>
    <row r="101" spans="1:14" x14ac:dyDescent="0.35">
      <c r="A101" t="s">
        <v>153</v>
      </c>
      <c r="B101" t="s">
        <v>15</v>
      </c>
      <c r="C101" t="s">
        <v>22</v>
      </c>
      <c r="D101" t="s">
        <v>17</v>
      </c>
      <c r="E101" t="s">
        <v>18</v>
      </c>
      <c r="F101" t="s">
        <v>19</v>
      </c>
      <c r="G101">
        <v>2003</v>
      </c>
      <c r="H101">
        <v>20444.599999999999</v>
      </c>
      <c r="I101">
        <v>14112.2</v>
      </c>
      <c r="J101">
        <v>6342</v>
      </c>
      <c r="K101">
        <v>8484.4</v>
      </c>
      <c r="L101">
        <v>41.499466849999997</v>
      </c>
      <c r="M101">
        <v>11960.2</v>
      </c>
      <c r="N101">
        <v>58.500533150000003</v>
      </c>
    </row>
    <row r="102" spans="1:14" x14ac:dyDescent="0.35">
      <c r="A102" t="s">
        <v>154</v>
      </c>
      <c r="B102" t="s">
        <v>15</v>
      </c>
      <c r="C102" t="s">
        <v>90</v>
      </c>
      <c r="D102" t="s">
        <v>25</v>
      </c>
      <c r="E102" t="s">
        <v>91</v>
      </c>
      <c r="F102" t="s">
        <v>19</v>
      </c>
      <c r="G102">
        <v>2018</v>
      </c>
      <c r="H102">
        <v>20300.7</v>
      </c>
      <c r="I102">
        <v>13993.4</v>
      </c>
      <c r="J102">
        <v>6316.3</v>
      </c>
      <c r="K102">
        <v>7574.2</v>
      </c>
      <c r="L102">
        <v>37.310043499999999</v>
      </c>
      <c r="M102">
        <v>12726.5</v>
      </c>
      <c r="N102">
        <v>62.689956500000001</v>
      </c>
    </row>
    <row r="103" spans="1:14" x14ac:dyDescent="0.35">
      <c r="A103" t="s">
        <v>155</v>
      </c>
      <c r="B103" t="s">
        <v>15</v>
      </c>
      <c r="C103" t="s">
        <v>22</v>
      </c>
      <c r="D103" t="s">
        <v>17</v>
      </c>
      <c r="E103" t="s">
        <v>18</v>
      </c>
      <c r="F103" t="s">
        <v>19</v>
      </c>
      <c r="G103">
        <v>2015</v>
      </c>
      <c r="H103">
        <v>20138.099999999999</v>
      </c>
      <c r="I103">
        <v>15305.8</v>
      </c>
      <c r="J103">
        <v>4841.7</v>
      </c>
      <c r="K103">
        <v>13558.6</v>
      </c>
      <c r="L103">
        <v>67.328099469999998</v>
      </c>
      <c r="M103">
        <v>6579.5</v>
      </c>
      <c r="N103">
        <v>32.671900530000002</v>
      </c>
    </row>
    <row r="104" spans="1:14" x14ac:dyDescent="0.35">
      <c r="A104" t="s">
        <v>156</v>
      </c>
      <c r="B104" t="s">
        <v>15</v>
      </c>
      <c r="C104" t="s">
        <v>22</v>
      </c>
      <c r="D104" t="s">
        <v>17</v>
      </c>
      <c r="E104" t="s">
        <v>18</v>
      </c>
      <c r="F104" t="s">
        <v>19</v>
      </c>
      <c r="G104">
        <v>2007</v>
      </c>
      <c r="H104">
        <v>20091.099999999999</v>
      </c>
      <c r="I104">
        <v>18765.5</v>
      </c>
      <c r="J104">
        <v>1328</v>
      </c>
      <c r="K104">
        <v>12865.2</v>
      </c>
      <c r="L104">
        <v>64.034323659999998</v>
      </c>
      <c r="M104">
        <v>7225.9</v>
      </c>
      <c r="N104">
        <v>35.965676340000002</v>
      </c>
    </row>
    <row r="105" spans="1:14" x14ac:dyDescent="0.35">
      <c r="A105" t="s">
        <v>157</v>
      </c>
      <c r="B105" t="s">
        <v>15</v>
      </c>
      <c r="C105" t="s">
        <v>22</v>
      </c>
      <c r="D105" t="s">
        <v>17</v>
      </c>
      <c r="E105" t="s">
        <v>18</v>
      </c>
      <c r="F105" t="s">
        <v>19</v>
      </c>
      <c r="G105">
        <v>2015</v>
      </c>
      <c r="H105">
        <v>19977.5</v>
      </c>
      <c r="I105">
        <v>9365.1</v>
      </c>
      <c r="J105">
        <v>10617.1</v>
      </c>
      <c r="K105">
        <v>5320.2</v>
      </c>
      <c r="L105">
        <v>26.630959829999998</v>
      </c>
      <c r="M105">
        <v>14657.3</v>
      </c>
      <c r="N105">
        <v>73.369040170000005</v>
      </c>
    </row>
    <row r="106" spans="1:14" x14ac:dyDescent="0.35">
      <c r="A106" t="s">
        <v>158</v>
      </c>
      <c r="B106" t="s">
        <v>15</v>
      </c>
      <c r="C106" t="s">
        <v>22</v>
      </c>
      <c r="D106" t="s">
        <v>17</v>
      </c>
      <c r="E106" t="s">
        <v>18</v>
      </c>
      <c r="F106" t="s">
        <v>19</v>
      </c>
      <c r="G106">
        <v>2017</v>
      </c>
      <c r="H106">
        <v>19830.5</v>
      </c>
      <c r="I106">
        <v>12351.9</v>
      </c>
      <c r="J106">
        <v>7494</v>
      </c>
      <c r="K106">
        <v>8302.6</v>
      </c>
      <c r="L106">
        <v>41.867829860000001</v>
      </c>
      <c r="M106">
        <v>11527.9</v>
      </c>
      <c r="N106">
        <v>58.132170139999999</v>
      </c>
    </row>
    <row r="107" spans="1:14" x14ac:dyDescent="0.35">
      <c r="A107" t="s">
        <v>159</v>
      </c>
      <c r="B107" t="s">
        <v>15</v>
      </c>
      <c r="C107" t="s">
        <v>22</v>
      </c>
      <c r="D107" t="s">
        <v>17</v>
      </c>
      <c r="E107" t="s">
        <v>99</v>
      </c>
      <c r="F107" t="s">
        <v>19</v>
      </c>
      <c r="G107">
        <v>2019</v>
      </c>
      <c r="H107">
        <v>19727.2</v>
      </c>
      <c r="I107">
        <v>19690.8</v>
      </c>
      <c r="J107">
        <v>47.3</v>
      </c>
      <c r="K107">
        <v>15838.7</v>
      </c>
      <c r="L107">
        <v>80.288637010000002</v>
      </c>
      <c r="M107">
        <v>3888.5</v>
      </c>
      <c r="N107">
        <v>19.711362990000001</v>
      </c>
    </row>
    <row r="108" spans="1:14" x14ac:dyDescent="0.35">
      <c r="A108" t="s">
        <v>160</v>
      </c>
      <c r="B108" t="s">
        <v>15</v>
      </c>
      <c r="C108" t="s">
        <v>161</v>
      </c>
      <c r="D108" t="s">
        <v>17</v>
      </c>
      <c r="E108" t="s">
        <v>61</v>
      </c>
      <c r="F108" t="s">
        <v>19</v>
      </c>
      <c r="G108">
        <v>2013</v>
      </c>
      <c r="H108">
        <v>19707.8</v>
      </c>
      <c r="I108">
        <v>17829.8</v>
      </c>
      <c r="J108">
        <v>1883.3</v>
      </c>
      <c r="K108">
        <v>250.7</v>
      </c>
      <c r="L108">
        <v>1.2720851639999999</v>
      </c>
      <c r="M108">
        <v>19457.099999999999</v>
      </c>
      <c r="N108">
        <v>98.727914839999997</v>
      </c>
    </row>
    <row r="109" spans="1:14" x14ac:dyDescent="0.35">
      <c r="A109" t="s">
        <v>162</v>
      </c>
      <c r="B109" t="s">
        <v>15</v>
      </c>
      <c r="C109" t="s">
        <v>163</v>
      </c>
      <c r="D109" t="s">
        <v>25</v>
      </c>
      <c r="E109" t="s">
        <v>26</v>
      </c>
      <c r="F109" t="s">
        <v>19</v>
      </c>
      <c r="G109">
        <v>2014</v>
      </c>
      <c r="H109">
        <v>19528.3</v>
      </c>
      <c r="I109">
        <v>7512.9</v>
      </c>
      <c r="J109">
        <v>12015.4</v>
      </c>
      <c r="K109">
        <v>2397.8000000000002</v>
      </c>
      <c r="L109">
        <v>12.27859056</v>
      </c>
      <c r="M109">
        <v>17130.5</v>
      </c>
      <c r="N109">
        <v>87.721409440000002</v>
      </c>
    </row>
    <row r="110" spans="1:14" x14ac:dyDescent="0.35">
      <c r="A110" t="s">
        <v>164</v>
      </c>
      <c r="B110" t="s">
        <v>15</v>
      </c>
      <c r="C110" t="s">
        <v>22</v>
      </c>
      <c r="D110" t="s">
        <v>17</v>
      </c>
      <c r="E110" t="s">
        <v>58</v>
      </c>
      <c r="F110" t="s">
        <v>49</v>
      </c>
      <c r="G110">
        <v>2011</v>
      </c>
      <c r="H110">
        <v>19440.5</v>
      </c>
      <c r="I110">
        <v>19435.599999999999</v>
      </c>
      <c r="J110">
        <v>14.3</v>
      </c>
      <c r="K110">
        <v>18793.5</v>
      </c>
      <c r="L110">
        <v>96.6718963</v>
      </c>
      <c r="M110">
        <v>647</v>
      </c>
      <c r="N110">
        <v>3.3281037009999999</v>
      </c>
    </row>
    <row r="111" spans="1:14" x14ac:dyDescent="0.35">
      <c r="A111" t="s">
        <v>165</v>
      </c>
      <c r="B111" t="s">
        <v>15</v>
      </c>
      <c r="C111" t="s">
        <v>22</v>
      </c>
      <c r="D111" t="s">
        <v>17</v>
      </c>
      <c r="E111" t="s">
        <v>18</v>
      </c>
      <c r="F111" t="s">
        <v>19</v>
      </c>
      <c r="G111">
        <v>2008</v>
      </c>
      <c r="H111">
        <v>19383.5</v>
      </c>
      <c r="I111">
        <v>2977.3</v>
      </c>
      <c r="J111">
        <v>16406.099999999999</v>
      </c>
      <c r="K111">
        <v>809.7</v>
      </c>
      <c r="L111">
        <v>4.1772641679999998</v>
      </c>
      <c r="M111">
        <v>18573.8</v>
      </c>
      <c r="N111">
        <v>95.822735829999999</v>
      </c>
    </row>
    <row r="112" spans="1:14" x14ac:dyDescent="0.35">
      <c r="A112" t="s">
        <v>166</v>
      </c>
      <c r="B112" t="s">
        <v>15</v>
      </c>
      <c r="C112" t="s">
        <v>167</v>
      </c>
      <c r="D112" t="s">
        <v>168</v>
      </c>
      <c r="E112" t="s">
        <v>169</v>
      </c>
      <c r="F112" t="s">
        <v>49</v>
      </c>
      <c r="G112">
        <v>2008</v>
      </c>
      <c r="H112">
        <v>19231.7</v>
      </c>
      <c r="I112">
        <v>15881.4</v>
      </c>
      <c r="J112">
        <v>3360.5</v>
      </c>
      <c r="K112">
        <v>15399.4</v>
      </c>
      <c r="L112">
        <v>80.073004470000001</v>
      </c>
      <c r="M112">
        <v>3832.3</v>
      </c>
      <c r="N112">
        <v>19.926995529999999</v>
      </c>
    </row>
    <row r="113" spans="1:14" x14ac:dyDescent="0.35">
      <c r="A113" t="s">
        <v>170</v>
      </c>
      <c r="B113" t="s">
        <v>15</v>
      </c>
      <c r="C113" t="s">
        <v>22</v>
      </c>
      <c r="D113" t="s">
        <v>17</v>
      </c>
      <c r="E113" t="s">
        <v>99</v>
      </c>
      <c r="F113" t="s">
        <v>19</v>
      </c>
      <c r="G113">
        <v>2014</v>
      </c>
      <c r="H113">
        <v>19101.599999999999</v>
      </c>
      <c r="I113">
        <v>17465.400000000001</v>
      </c>
      <c r="J113">
        <v>1647.2</v>
      </c>
      <c r="K113">
        <v>16648</v>
      </c>
      <c r="L113">
        <v>87.155002719999999</v>
      </c>
      <c r="M113">
        <v>2453.6</v>
      </c>
      <c r="N113">
        <v>12.844997279999999</v>
      </c>
    </row>
    <row r="114" spans="1:14" x14ac:dyDescent="0.35">
      <c r="A114" t="s">
        <v>171</v>
      </c>
      <c r="B114" t="s">
        <v>15</v>
      </c>
      <c r="C114" t="s">
        <v>34</v>
      </c>
      <c r="D114" t="s">
        <v>17</v>
      </c>
      <c r="E114" t="s">
        <v>52</v>
      </c>
      <c r="F114" t="s">
        <v>19</v>
      </c>
      <c r="G114">
        <v>1969</v>
      </c>
      <c r="H114">
        <v>19090.400000000001</v>
      </c>
      <c r="I114">
        <v>17435.400000000001</v>
      </c>
      <c r="J114">
        <v>1662.4</v>
      </c>
      <c r="K114">
        <v>12211.1</v>
      </c>
      <c r="L114">
        <v>63.964610479999997</v>
      </c>
      <c r="M114">
        <v>6879.3</v>
      </c>
      <c r="N114">
        <v>36.035389520000003</v>
      </c>
    </row>
    <row r="115" spans="1:14" x14ac:dyDescent="0.35">
      <c r="A115" t="s">
        <v>172</v>
      </c>
      <c r="B115" t="s">
        <v>15</v>
      </c>
      <c r="C115" t="s">
        <v>43</v>
      </c>
      <c r="D115" t="s">
        <v>25</v>
      </c>
      <c r="E115" t="s">
        <v>83</v>
      </c>
      <c r="F115" t="s">
        <v>19</v>
      </c>
      <c r="G115">
        <v>2016</v>
      </c>
      <c r="H115">
        <v>18912.7</v>
      </c>
      <c r="I115">
        <v>8490.9</v>
      </c>
      <c r="J115">
        <v>10429.4</v>
      </c>
      <c r="K115">
        <v>5716.7</v>
      </c>
      <c r="L115">
        <v>30.226778830000001</v>
      </c>
      <c r="M115">
        <v>13196</v>
      </c>
      <c r="N115">
        <v>69.773221169999999</v>
      </c>
    </row>
    <row r="116" spans="1:14" x14ac:dyDescent="0.35">
      <c r="A116" t="s">
        <v>173</v>
      </c>
      <c r="B116" t="s">
        <v>15</v>
      </c>
      <c r="C116" t="s">
        <v>22</v>
      </c>
      <c r="D116" t="s">
        <v>17</v>
      </c>
      <c r="E116" t="s">
        <v>18</v>
      </c>
      <c r="F116" t="s">
        <v>19</v>
      </c>
      <c r="G116">
        <v>2016</v>
      </c>
      <c r="H116">
        <v>18889.599999999999</v>
      </c>
      <c r="I116">
        <v>11762.8</v>
      </c>
      <c r="J116">
        <v>7126.8</v>
      </c>
      <c r="K116">
        <v>5822.1</v>
      </c>
      <c r="L116">
        <v>30.821722009999998</v>
      </c>
      <c r="M116">
        <v>13067.5</v>
      </c>
      <c r="N116">
        <v>69.178277989999998</v>
      </c>
    </row>
    <row r="117" spans="1:14" x14ac:dyDescent="0.35">
      <c r="A117" t="s">
        <v>174</v>
      </c>
      <c r="B117" t="s">
        <v>21</v>
      </c>
      <c r="C117" t="s">
        <v>16</v>
      </c>
      <c r="D117" t="s">
        <v>17</v>
      </c>
      <c r="E117" t="s">
        <v>23</v>
      </c>
      <c r="F117" t="s">
        <v>19</v>
      </c>
      <c r="G117">
        <v>2017</v>
      </c>
      <c r="H117">
        <v>18707.3</v>
      </c>
      <c r="I117">
        <v>16893.7</v>
      </c>
      <c r="J117">
        <v>1823.3</v>
      </c>
      <c r="K117">
        <v>15280.9</v>
      </c>
      <c r="L117">
        <v>81.684155380000007</v>
      </c>
      <c r="M117">
        <v>3426.4</v>
      </c>
      <c r="N117">
        <v>18.31584462</v>
      </c>
    </row>
    <row r="118" spans="1:14" x14ac:dyDescent="0.35">
      <c r="A118" t="s">
        <v>175</v>
      </c>
      <c r="B118" t="s">
        <v>15</v>
      </c>
      <c r="C118" t="s">
        <v>22</v>
      </c>
      <c r="D118" t="s">
        <v>17</v>
      </c>
      <c r="E118" t="s">
        <v>18</v>
      </c>
      <c r="F118" t="s">
        <v>19</v>
      </c>
      <c r="G118">
        <v>2014</v>
      </c>
      <c r="H118">
        <v>18649.5</v>
      </c>
      <c r="I118">
        <v>17855.2</v>
      </c>
      <c r="J118">
        <v>801</v>
      </c>
      <c r="K118">
        <v>9452.7000000000007</v>
      </c>
      <c r="L118">
        <v>50.68607737</v>
      </c>
      <c r="M118">
        <v>9196.7999999999993</v>
      </c>
      <c r="N118">
        <v>49.31392263</v>
      </c>
    </row>
    <row r="119" spans="1:14" x14ac:dyDescent="0.35">
      <c r="A119" t="s">
        <v>176</v>
      </c>
      <c r="B119" t="s">
        <v>15</v>
      </c>
      <c r="C119" t="s">
        <v>22</v>
      </c>
      <c r="D119" t="s">
        <v>17</v>
      </c>
      <c r="E119" t="s">
        <v>52</v>
      </c>
      <c r="F119" t="s">
        <v>49</v>
      </c>
      <c r="G119">
        <v>1983</v>
      </c>
      <c r="H119">
        <v>18627</v>
      </c>
      <c r="I119">
        <v>18557</v>
      </c>
      <c r="J119">
        <v>77.900000000000006</v>
      </c>
      <c r="K119">
        <v>18283.099999999999</v>
      </c>
      <c r="L119">
        <v>98.1537553</v>
      </c>
      <c r="M119">
        <v>343.9</v>
      </c>
      <c r="N119">
        <v>1.8462446990000001</v>
      </c>
    </row>
    <row r="120" spans="1:14" x14ac:dyDescent="0.35">
      <c r="A120" t="s">
        <v>177</v>
      </c>
      <c r="B120" t="s">
        <v>15</v>
      </c>
      <c r="C120" t="s">
        <v>22</v>
      </c>
      <c r="D120" t="s">
        <v>25</v>
      </c>
      <c r="E120" t="s">
        <v>26</v>
      </c>
      <c r="F120" t="s">
        <v>19</v>
      </c>
      <c r="G120">
        <v>2003</v>
      </c>
      <c r="H120">
        <v>18580.599999999999</v>
      </c>
      <c r="I120">
        <v>14990.8</v>
      </c>
      <c r="J120">
        <v>3601.2</v>
      </c>
      <c r="K120">
        <v>8321.9</v>
      </c>
      <c r="L120">
        <v>44.788112329999997</v>
      </c>
      <c r="M120">
        <v>10258.700000000001</v>
      </c>
      <c r="N120">
        <v>55.211887670000003</v>
      </c>
    </row>
    <row r="121" spans="1:14" x14ac:dyDescent="0.35">
      <c r="A121" t="s">
        <v>178</v>
      </c>
      <c r="B121" t="s">
        <v>15</v>
      </c>
      <c r="C121" t="s">
        <v>22</v>
      </c>
      <c r="D121" t="s">
        <v>17</v>
      </c>
      <c r="E121" t="s">
        <v>28</v>
      </c>
      <c r="F121" t="s">
        <v>19</v>
      </c>
      <c r="G121">
        <v>1994</v>
      </c>
      <c r="H121">
        <v>18413.2</v>
      </c>
      <c r="I121">
        <v>12525.4</v>
      </c>
      <c r="J121">
        <v>5896.3</v>
      </c>
      <c r="K121">
        <v>5222.1000000000004</v>
      </c>
      <c r="L121">
        <v>28.360632590000002</v>
      </c>
      <c r="M121">
        <v>13191.1</v>
      </c>
      <c r="N121">
        <v>71.639367410000006</v>
      </c>
    </row>
    <row r="122" spans="1:14" x14ac:dyDescent="0.35">
      <c r="A122" t="s">
        <v>179</v>
      </c>
      <c r="B122" t="s">
        <v>15</v>
      </c>
      <c r="C122" t="s">
        <v>22</v>
      </c>
      <c r="D122" t="s">
        <v>17</v>
      </c>
      <c r="E122" t="s">
        <v>23</v>
      </c>
      <c r="F122" t="s">
        <v>19</v>
      </c>
      <c r="G122">
        <v>2015</v>
      </c>
      <c r="H122">
        <v>18309.3</v>
      </c>
      <c r="I122">
        <v>14642.3</v>
      </c>
      <c r="J122">
        <v>3673.3</v>
      </c>
      <c r="K122">
        <v>8613.7000000000007</v>
      </c>
      <c r="L122">
        <v>47.045490540000003</v>
      </c>
      <c r="M122">
        <v>9695.6</v>
      </c>
      <c r="N122">
        <v>52.954509459999997</v>
      </c>
    </row>
    <row r="123" spans="1:14" x14ac:dyDescent="0.35">
      <c r="A123" t="s">
        <v>180</v>
      </c>
      <c r="B123" t="s">
        <v>15</v>
      </c>
      <c r="C123" t="s">
        <v>22</v>
      </c>
      <c r="D123" t="s">
        <v>17</v>
      </c>
      <c r="E123" t="s">
        <v>23</v>
      </c>
      <c r="F123" t="s">
        <v>19</v>
      </c>
      <c r="G123">
        <v>2002</v>
      </c>
      <c r="H123">
        <v>18270.8</v>
      </c>
      <c r="I123">
        <v>13165.8</v>
      </c>
      <c r="J123">
        <v>5114.8999999999996</v>
      </c>
      <c r="K123">
        <v>8899.2000000000007</v>
      </c>
      <c r="L123">
        <v>48.707226830000003</v>
      </c>
      <c r="M123">
        <v>9371.6</v>
      </c>
      <c r="N123">
        <v>51.292773169999997</v>
      </c>
    </row>
    <row r="124" spans="1:14" x14ac:dyDescent="0.35">
      <c r="A124" t="s">
        <v>181</v>
      </c>
      <c r="B124" t="s">
        <v>15</v>
      </c>
      <c r="C124" t="s">
        <v>182</v>
      </c>
      <c r="D124" t="s">
        <v>17</v>
      </c>
      <c r="E124" t="s">
        <v>61</v>
      </c>
      <c r="F124" t="s">
        <v>19</v>
      </c>
      <c r="G124">
        <v>1994</v>
      </c>
      <c r="H124">
        <v>18217.099999999999</v>
      </c>
      <c r="I124">
        <v>13653.1</v>
      </c>
      <c r="J124">
        <v>4569.1000000000004</v>
      </c>
      <c r="K124">
        <v>3490.5</v>
      </c>
      <c r="L124">
        <v>19.160568919999999</v>
      </c>
      <c r="M124">
        <v>14726.6</v>
      </c>
      <c r="N124">
        <v>80.839431079999997</v>
      </c>
    </row>
    <row r="125" spans="1:14" x14ac:dyDescent="0.35">
      <c r="A125" t="s">
        <v>183</v>
      </c>
      <c r="B125" t="s">
        <v>15</v>
      </c>
      <c r="C125" t="s">
        <v>184</v>
      </c>
      <c r="D125" t="s">
        <v>17</v>
      </c>
      <c r="E125" t="s">
        <v>185</v>
      </c>
      <c r="F125" t="s">
        <v>19</v>
      </c>
      <c r="G125">
        <v>1996</v>
      </c>
      <c r="H125">
        <v>18203.3</v>
      </c>
      <c r="I125">
        <v>9674.9</v>
      </c>
      <c r="J125">
        <v>8539.4</v>
      </c>
      <c r="K125">
        <v>4460.6000000000004</v>
      </c>
      <c r="L125">
        <v>24.504348109999999</v>
      </c>
      <c r="M125">
        <v>13742.7</v>
      </c>
      <c r="N125">
        <v>75.495651890000005</v>
      </c>
    </row>
    <row r="126" spans="1:14" x14ac:dyDescent="0.35">
      <c r="A126" t="s">
        <v>186</v>
      </c>
      <c r="B126" t="s">
        <v>15</v>
      </c>
      <c r="C126" t="s">
        <v>22</v>
      </c>
      <c r="D126" t="s">
        <v>17</v>
      </c>
      <c r="E126" t="s">
        <v>18</v>
      </c>
      <c r="F126" t="s">
        <v>19</v>
      </c>
      <c r="G126">
        <v>2008</v>
      </c>
      <c r="H126">
        <v>18064.3</v>
      </c>
      <c r="I126">
        <v>7403</v>
      </c>
      <c r="J126">
        <v>10664.8</v>
      </c>
      <c r="K126">
        <v>2757.4</v>
      </c>
      <c r="L126">
        <v>15.2643612</v>
      </c>
      <c r="M126">
        <v>15306.9</v>
      </c>
      <c r="N126">
        <v>84.735638800000004</v>
      </c>
    </row>
    <row r="127" spans="1:14" x14ac:dyDescent="0.35">
      <c r="A127" t="s">
        <v>187</v>
      </c>
      <c r="B127" t="s">
        <v>21</v>
      </c>
      <c r="C127" t="s">
        <v>43</v>
      </c>
      <c r="D127" t="s">
        <v>17</v>
      </c>
      <c r="E127" t="s">
        <v>28</v>
      </c>
      <c r="F127" t="s">
        <v>19</v>
      </c>
      <c r="G127">
        <v>2012</v>
      </c>
      <c r="H127">
        <v>18005.3</v>
      </c>
      <c r="I127">
        <v>10367</v>
      </c>
      <c r="J127">
        <v>7646.6</v>
      </c>
      <c r="K127">
        <v>7259.1</v>
      </c>
      <c r="L127">
        <v>40.316462370000004</v>
      </c>
      <c r="M127">
        <v>10746.2</v>
      </c>
      <c r="N127">
        <v>59.683537629999996</v>
      </c>
    </row>
    <row r="128" spans="1:14" x14ac:dyDescent="0.35">
      <c r="A128" t="s">
        <v>188</v>
      </c>
      <c r="B128" t="s">
        <v>15</v>
      </c>
      <c r="C128" t="s">
        <v>22</v>
      </c>
      <c r="D128" t="s">
        <v>17</v>
      </c>
      <c r="E128" t="s">
        <v>18</v>
      </c>
      <c r="F128" t="s">
        <v>19</v>
      </c>
      <c r="G128">
        <v>2009</v>
      </c>
      <c r="H128">
        <v>17738.8</v>
      </c>
      <c r="I128">
        <v>11748.1</v>
      </c>
      <c r="J128">
        <v>5997.1</v>
      </c>
      <c r="K128">
        <v>7693.4</v>
      </c>
      <c r="L128">
        <v>43.370464740000003</v>
      </c>
      <c r="M128">
        <v>10045.4</v>
      </c>
      <c r="N128">
        <v>56.629535259999997</v>
      </c>
    </row>
    <row r="129" spans="1:14" x14ac:dyDescent="0.35">
      <c r="A129" t="s">
        <v>189</v>
      </c>
      <c r="B129" t="s">
        <v>15</v>
      </c>
      <c r="C129" t="s">
        <v>22</v>
      </c>
      <c r="D129" t="s">
        <v>17</v>
      </c>
      <c r="E129" t="s">
        <v>23</v>
      </c>
      <c r="F129" t="s">
        <v>19</v>
      </c>
      <c r="G129">
        <v>2009</v>
      </c>
      <c r="H129">
        <v>17720.2</v>
      </c>
      <c r="I129">
        <v>13610.1</v>
      </c>
      <c r="J129">
        <v>4116.2</v>
      </c>
      <c r="K129">
        <v>8342.7000000000007</v>
      </c>
      <c r="L129">
        <v>47.080168399999998</v>
      </c>
      <c r="M129">
        <v>9377.5</v>
      </c>
      <c r="N129">
        <v>52.919831600000002</v>
      </c>
    </row>
    <row r="130" spans="1:14" x14ac:dyDescent="0.35">
      <c r="A130" t="s">
        <v>190</v>
      </c>
      <c r="B130" t="s">
        <v>21</v>
      </c>
      <c r="C130" t="s">
        <v>46</v>
      </c>
      <c r="D130" t="s">
        <v>47</v>
      </c>
      <c r="E130" t="s">
        <v>48</v>
      </c>
      <c r="F130" t="s">
        <v>49</v>
      </c>
      <c r="G130">
        <v>2016</v>
      </c>
      <c r="H130">
        <v>17517.400000000001</v>
      </c>
      <c r="I130">
        <v>7595.2</v>
      </c>
      <c r="J130">
        <v>9927.7999999999993</v>
      </c>
      <c r="K130">
        <v>15415.4</v>
      </c>
      <c r="L130">
        <v>88.000502359999999</v>
      </c>
      <c r="M130">
        <v>2102</v>
      </c>
      <c r="N130">
        <v>11.99949764</v>
      </c>
    </row>
    <row r="131" spans="1:14" x14ac:dyDescent="0.35">
      <c r="A131" t="s">
        <v>191</v>
      </c>
      <c r="B131" t="s">
        <v>15</v>
      </c>
      <c r="C131" t="s">
        <v>22</v>
      </c>
      <c r="D131" t="s">
        <v>25</v>
      </c>
      <c r="E131" t="s">
        <v>26</v>
      </c>
      <c r="F131" t="s">
        <v>19</v>
      </c>
      <c r="G131">
        <v>2017</v>
      </c>
      <c r="H131">
        <v>17516.099999999999</v>
      </c>
      <c r="I131">
        <v>16311.4</v>
      </c>
      <c r="J131">
        <v>1210.7</v>
      </c>
      <c r="K131">
        <v>2137.8000000000002</v>
      </c>
      <c r="L131">
        <v>12.20477161</v>
      </c>
      <c r="M131">
        <v>15378.3</v>
      </c>
      <c r="N131">
        <v>87.795228390000005</v>
      </c>
    </row>
    <row r="132" spans="1:14" x14ac:dyDescent="0.35">
      <c r="A132" t="s">
        <v>192</v>
      </c>
      <c r="B132" t="s">
        <v>21</v>
      </c>
      <c r="C132" t="s">
        <v>22</v>
      </c>
      <c r="D132" t="s">
        <v>17</v>
      </c>
      <c r="E132" t="s">
        <v>23</v>
      </c>
      <c r="F132" t="s">
        <v>19</v>
      </c>
      <c r="G132">
        <v>2014</v>
      </c>
      <c r="H132">
        <v>17440.2</v>
      </c>
      <c r="I132">
        <v>5933.3</v>
      </c>
      <c r="J132">
        <v>11512.1</v>
      </c>
      <c r="K132">
        <v>2784</v>
      </c>
      <c r="L132">
        <v>15.963119689999999</v>
      </c>
      <c r="M132">
        <v>14656.2</v>
      </c>
      <c r="N132">
        <v>84.036880310000001</v>
      </c>
    </row>
    <row r="133" spans="1:14" x14ac:dyDescent="0.35">
      <c r="A133" t="s">
        <v>193</v>
      </c>
      <c r="B133" t="s">
        <v>15</v>
      </c>
      <c r="C133" t="s">
        <v>60</v>
      </c>
      <c r="D133" t="s">
        <v>17</v>
      </c>
      <c r="E133" t="s">
        <v>61</v>
      </c>
      <c r="F133" t="s">
        <v>49</v>
      </c>
      <c r="G133">
        <v>1994</v>
      </c>
      <c r="H133">
        <v>17316.599999999999</v>
      </c>
      <c r="I133">
        <v>10309.700000000001</v>
      </c>
      <c r="J133">
        <v>7013.9</v>
      </c>
      <c r="K133">
        <v>6283</v>
      </c>
      <c r="L133">
        <v>36.28310407</v>
      </c>
      <c r="M133">
        <v>11033.6</v>
      </c>
      <c r="N133">
        <v>63.71689593</v>
      </c>
    </row>
    <row r="134" spans="1:14" x14ac:dyDescent="0.35">
      <c r="A134" t="s">
        <v>194</v>
      </c>
      <c r="B134" t="s">
        <v>15</v>
      </c>
      <c r="C134" t="s">
        <v>90</v>
      </c>
      <c r="D134" t="s">
        <v>25</v>
      </c>
      <c r="E134" t="s">
        <v>83</v>
      </c>
      <c r="F134" t="s">
        <v>19</v>
      </c>
      <c r="G134">
        <v>1982</v>
      </c>
      <c r="H134">
        <v>17314.099999999999</v>
      </c>
      <c r="I134">
        <v>17301.5</v>
      </c>
      <c r="J134">
        <v>20</v>
      </c>
      <c r="K134">
        <v>17281</v>
      </c>
      <c r="L134">
        <v>99.808826330000002</v>
      </c>
      <c r="M134">
        <v>33.1</v>
      </c>
      <c r="N134">
        <v>0.19117366769999999</v>
      </c>
    </row>
    <row r="135" spans="1:14" x14ac:dyDescent="0.35">
      <c r="A135" t="s">
        <v>195</v>
      </c>
      <c r="B135" t="s">
        <v>21</v>
      </c>
      <c r="C135" t="s">
        <v>22</v>
      </c>
      <c r="D135" t="s">
        <v>17</v>
      </c>
      <c r="E135" t="s">
        <v>23</v>
      </c>
      <c r="F135" t="s">
        <v>19</v>
      </c>
      <c r="G135">
        <v>2008</v>
      </c>
      <c r="H135">
        <v>17119.5</v>
      </c>
      <c r="I135">
        <v>11625.6</v>
      </c>
      <c r="J135">
        <v>5498.6</v>
      </c>
      <c r="K135">
        <v>10006</v>
      </c>
      <c r="L135">
        <v>58.447968690000003</v>
      </c>
      <c r="M135">
        <v>7113.5</v>
      </c>
      <c r="N135">
        <v>41.552031309999997</v>
      </c>
    </row>
    <row r="136" spans="1:14" x14ac:dyDescent="0.35">
      <c r="A136" t="s">
        <v>196</v>
      </c>
      <c r="B136" t="s">
        <v>15</v>
      </c>
      <c r="C136" t="s">
        <v>197</v>
      </c>
      <c r="D136" t="s">
        <v>17</v>
      </c>
      <c r="E136" t="s">
        <v>28</v>
      </c>
      <c r="F136" t="s">
        <v>19</v>
      </c>
      <c r="G136">
        <v>2004</v>
      </c>
      <c r="H136">
        <v>17056</v>
      </c>
      <c r="I136">
        <v>8007.4</v>
      </c>
      <c r="J136">
        <v>9059.5</v>
      </c>
      <c r="K136">
        <v>4403.1000000000004</v>
      </c>
      <c r="L136">
        <v>25.81554878</v>
      </c>
      <c r="M136">
        <v>12652.9</v>
      </c>
      <c r="N136">
        <v>74.18445122</v>
      </c>
    </row>
    <row r="137" spans="1:14" x14ac:dyDescent="0.35">
      <c r="A137" t="s">
        <v>198</v>
      </c>
      <c r="B137" t="s">
        <v>15</v>
      </c>
      <c r="C137" t="s">
        <v>95</v>
      </c>
      <c r="D137" t="s">
        <v>17</v>
      </c>
      <c r="E137" t="s">
        <v>52</v>
      </c>
      <c r="F137" t="s">
        <v>49</v>
      </c>
      <c r="G137">
        <v>1975</v>
      </c>
      <c r="H137">
        <v>17010.5</v>
      </c>
      <c r="I137">
        <v>17018</v>
      </c>
      <c r="J137">
        <v>0</v>
      </c>
      <c r="K137">
        <v>17010.5</v>
      </c>
      <c r="L137">
        <v>100</v>
      </c>
      <c r="M137">
        <v>0</v>
      </c>
      <c r="N137">
        <v>0</v>
      </c>
    </row>
    <row r="138" spans="1:14" x14ac:dyDescent="0.35">
      <c r="A138" t="s">
        <v>199</v>
      </c>
      <c r="B138" t="s">
        <v>15</v>
      </c>
      <c r="C138" t="s">
        <v>43</v>
      </c>
      <c r="D138" t="s">
        <v>25</v>
      </c>
      <c r="E138" t="s">
        <v>83</v>
      </c>
      <c r="F138" t="s">
        <v>19</v>
      </c>
      <c r="G138">
        <v>2013</v>
      </c>
      <c r="H138">
        <v>16984.3</v>
      </c>
      <c r="I138">
        <v>10969.8</v>
      </c>
      <c r="J138">
        <v>6018.9</v>
      </c>
      <c r="K138">
        <v>4419.3</v>
      </c>
      <c r="L138">
        <v>26.019912510000001</v>
      </c>
      <c r="M138">
        <v>12565</v>
      </c>
      <c r="N138">
        <v>73.980087490000003</v>
      </c>
    </row>
    <row r="139" spans="1:14" x14ac:dyDescent="0.35">
      <c r="A139" t="s">
        <v>200</v>
      </c>
      <c r="B139" t="s">
        <v>15</v>
      </c>
      <c r="C139" t="s">
        <v>90</v>
      </c>
      <c r="D139" t="s">
        <v>25</v>
      </c>
      <c r="E139" t="s">
        <v>91</v>
      </c>
      <c r="F139" t="s">
        <v>19</v>
      </c>
      <c r="G139">
        <v>2010</v>
      </c>
      <c r="H139">
        <v>16969.400000000001</v>
      </c>
      <c r="I139">
        <v>10480.799999999999</v>
      </c>
      <c r="J139">
        <v>6497.7</v>
      </c>
      <c r="K139">
        <v>7429.1</v>
      </c>
      <c r="L139">
        <v>43.779391140000001</v>
      </c>
      <c r="M139">
        <v>9540.2999999999993</v>
      </c>
      <c r="N139">
        <v>56.220608859999999</v>
      </c>
    </row>
    <row r="140" spans="1:14" x14ac:dyDescent="0.35">
      <c r="A140" t="s">
        <v>201</v>
      </c>
      <c r="B140" t="s">
        <v>15</v>
      </c>
      <c r="C140" t="s">
        <v>161</v>
      </c>
      <c r="D140" t="s">
        <v>17</v>
      </c>
      <c r="E140" t="s">
        <v>61</v>
      </c>
      <c r="F140" t="s">
        <v>19</v>
      </c>
      <c r="G140">
        <v>2014</v>
      </c>
      <c r="H140">
        <v>16893.400000000001</v>
      </c>
      <c r="I140">
        <v>13879.3</v>
      </c>
      <c r="J140">
        <v>3019.1</v>
      </c>
      <c r="K140">
        <v>5321.5</v>
      </c>
      <c r="L140">
        <v>31.50046764</v>
      </c>
      <c r="M140">
        <v>11571.9</v>
      </c>
      <c r="N140">
        <v>68.499532360000003</v>
      </c>
    </row>
    <row r="141" spans="1:14" x14ac:dyDescent="0.35">
      <c r="A141" t="s">
        <v>202</v>
      </c>
      <c r="B141" t="s">
        <v>15</v>
      </c>
      <c r="C141" t="s">
        <v>22</v>
      </c>
      <c r="D141" t="s">
        <v>17</v>
      </c>
      <c r="E141" t="s">
        <v>18</v>
      </c>
      <c r="F141" t="s">
        <v>19</v>
      </c>
      <c r="G141">
        <v>2016</v>
      </c>
      <c r="H141">
        <v>16877.3</v>
      </c>
      <c r="I141">
        <v>11425.9</v>
      </c>
      <c r="J141">
        <v>5455.1</v>
      </c>
      <c r="K141">
        <v>6395.3</v>
      </c>
      <c r="L141">
        <v>37.892909410000001</v>
      </c>
      <c r="M141">
        <v>10482</v>
      </c>
      <c r="N141">
        <v>62.107090589999999</v>
      </c>
    </row>
    <row r="142" spans="1:14" x14ac:dyDescent="0.35">
      <c r="A142" t="s">
        <v>203</v>
      </c>
      <c r="B142" t="s">
        <v>79</v>
      </c>
      <c r="C142" t="s">
        <v>34</v>
      </c>
      <c r="D142" t="s">
        <v>17</v>
      </c>
      <c r="E142" t="s">
        <v>52</v>
      </c>
      <c r="F142" t="s">
        <v>49</v>
      </c>
      <c r="G142">
        <v>1967</v>
      </c>
      <c r="H142">
        <v>16577.5</v>
      </c>
      <c r="I142">
        <v>16577.5</v>
      </c>
      <c r="J142">
        <v>0.4</v>
      </c>
      <c r="K142">
        <v>16567.400000000001</v>
      </c>
      <c r="L142">
        <v>99.939074050000002</v>
      </c>
      <c r="M142">
        <v>10.1</v>
      </c>
      <c r="N142">
        <v>6.0925953849999999E-2</v>
      </c>
    </row>
    <row r="143" spans="1:14" x14ac:dyDescent="0.35">
      <c r="A143" t="s">
        <v>204</v>
      </c>
      <c r="B143" t="s">
        <v>15</v>
      </c>
      <c r="C143" t="s">
        <v>205</v>
      </c>
      <c r="D143" t="s">
        <v>17</v>
      </c>
      <c r="E143" t="s">
        <v>52</v>
      </c>
      <c r="F143" t="s">
        <v>19</v>
      </c>
      <c r="G143">
        <v>2013</v>
      </c>
      <c r="H143">
        <v>16556.5</v>
      </c>
      <c r="I143">
        <v>15920.4</v>
      </c>
      <c r="J143">
        <v>641.79999999999995</v>
      </c>
      <c r="K143">
        <v>15519.5</v>
      </c>
      <c r="L143">
        <v>93.736598920000006</v>
      </c>
      <c r="M143">
        <v>1037</v>
      </c>
      <c r="N143">
        <v>6.2634010809999996</v>
      </c>
    </row>
    <row r="144" spans="1:14" x14ac:dyDescent="0.35">
      <c r="A144" t="s">
        <v>206</v>
      </c>
      <c r="B144" t="s">
        <v>21</v>
      </c>
      <c r="C144" t="s">
        <v>34</v>
      </c>
      <c r="D144" t="s">
        <v>17</v>
      </c>
      <c r="E144" t="s">
        <v>23</v>
      </c>
      <c r="F144" t="s">
        <v>19</v>
      </c>
      <c r="G144">
        <v>2009</v>
      </c>
      <c r="H144">
        <v>16553.3</v>
      </c>
      <c r="I144">
        <v>11362.1</v>
      </c>
      <c r="J144">
        <v>5197.6000000000004</v>
      </c>
      <c r="K144">
        <v>8685.9</v>
      </c>
      <c r="L144">
        <v>52.4723167</v>
      </c>
      <c r="M144">
        <v>7867.4</v>
      </c>
      <c r="N144">
        <v>47.5276833</v>
      </c>
    </row>
    <row r="145" spans="1:14" x14ac:dyDescent="0.35">
      <c r="A145" t="s">
        <v>207</v>
      </c>
      <c r="B145" t="s">
        <v>15</v>
      </c>
      <c r="C145" t="s">
        <v>34</v>
      </c>
      <c r="D145" t="s">
        <v>17</v>
      </c>
      <c r="E145" t="s">
        <v>52</v>
      </c>
      <c r="F145" t="s">
        <v>49</v>
      </c>
      <c r="G145">
        <v>1992</v>
      </c>
      <c r="H145">
        <v>16454.900000000001</v>
      </c>
      <c r="I145">
        <v>16461.5</v>
      </c>
      <c r="J145">
        <v>3</v>
      </c>
      <c r="K145">
        <v>16382.5</v>
      </c>
      <c r="L145">
        <v>99.560009480000005</v>
      </c>
      <c r="M145">
        <v>72.400000000000006</v>
      </c>
      <c r="N145">
        <v>0.43999051950000001</v>
      </c>
    </row>
    <row r="146" spans="1:14" x14ac:dyDescent="0.35">
      <c r="A146" t="s">
        <v>208</v>
      </c>
      <c r="B146" t="s">
        <v>15</v>
      </c>
      <c r="C146" t="s">
        <v>22</v>
      </c>
      <c r="D146" t="s">
        <v>17</v>
      </c>
      <c r="E146" t="s">
        <v>18</v>
      </c>
      <c r="F146" t="s">
        <v>19</v>
      </c>
      <c r="G146">
        <v>2007</v>
      </c>
      <c r="H146">
        <v>16428.900000000001</v>
      </c>
      <c r="I146">
        <v>12009.4</v>
      </c>
      <c r="J146">
        <v>4364.5</v>
      </c>
      <c r="K146">
        <v>2139</v>
      </c>
      <c r="L146">
        <v>13.01973961</v>
      </c>
      <c r="M146">
        <v>14289.9</v>
      </c>
      <c r="N146">
        <v>86.980260389999998</v>
      </c>
    </row>
    <row r="147" spans="1:14" x14ac:dyDescent="0.35">
      <c r="A147" t="s">
        <v>209</v>
      </c>
      <c r="B147" t="s">
        <v>15</v>
      </c>
      <c r="C147" t="s">
        <v>22</v>
      </c>
      <c r="D147" t="s">
        <v>17</v>
      </c>
      <c r="E147" t="s">
        <v>18</v>
      </c>
      <c r="F147" t="s">
        <v>19</v>
      </c>
      <c r="G147">
        <v>2007</v>
      </c>
      <c r="H147">
        <v>16366.1</v>
      </c>
      <c r="I147">
        <v>14784.2</v>
      </c>
      <c r="J147">
        <v>1492.7</v>
      </c>
      <c r="K147">
        <v>4359.8</v>
      </c>
      <c r="L147">
        <v>26.639211540000002</v>
      </c>
      <c r="M147">
        <v>12006.3</v>
      </c>
      <c r="N147">
        <v>73.360788459999995</v>
      </c>
    </row>
    <row r="148" spans="1:14" x14ac:dyDescent="0.35">
      <c r="A148" t="s">
        <v>210</v>
      </c>
      <c r="B148" t="s">
        <v>21</v>
      </c>
      <c r="C148" t="s">
        <v>22</v>
      </c>
      <c r="D148" t="s">
        <v>17</v>
      </c>
      <c r="E148" t="s">
        <v>23</v>
      </c>
      <c r="F148" t="s">
        <v>19</v>
      </c>
      <c r="G148">
        <v>2000</v>
      </c>
      <c r="H148">
        <v>16271.6</v>
      </c>
      <c r="I148">
        <v>7125.4</v>
      </c>
      <c r="J148">
        <v>9125</v>
      </c>
      <c r="K148">
        <v>11023</v>
      </c>
      <c r="L148">
        <v>67.743799010000004</v>
      </c>
      <c r="M148">
        <v>5248.6</v>
      </c>
      <c r="N148">
        <v>32.256200990000004</v>
      </c>
    </row>
    <row r="149" spans="1:14" x14ac:dyDescent="0.35">
      <c r="A149" t="s">
        <v>211</v>
      </c>
      <c r="B149" t="s">
        <v>15</v>
      </c>
      <c r="C149" t="s">
        <v>22</v>
      </c>
      <c r="D149" t="s">
        <v>17</v>
      </c>
      <c r="E149" t="s">
        <v>52</v>
      </c>
      <c r="F149" t="s">
        <v>49</v>
      </c>
      <c r="G149">
        <v>1989</v>
      </c>
      <c r="H149">
        <v>16228.7</v>
      </c>
      <c r="I149">
        <v>16236</v>
      </c>
      <c r="J149">
        <v>0</v>
      </c>
      <c r="K149">
        <v>16228.7</v>
      </c>
      <c r="L149">
        <v>100</v>
      </c>
      <c r="M149">
        <v>0</v>
      </c>
      <c r="N149">
        <v>0</v>
      </c>
    </row>
    <row r="150" spans="1:14" x14ac:dyDescent="0.35">
      <c r="A150" t="s">
        <v>212</v>
      </c>
      <c r="B150" t="s">
        <v>15</v>
      </c>
      <c r="C150" t="s">
        <v>22</v>
      </c>
      <c r="D150" t="s">
        <v>17</v>
      </c>
      <c r="E150" t="s">
        <v>18</v>
      </c>
      <c r="F150" t="s">
        <v>19</v>
      </c>
      <c r="G150">
        <v>2018</v>
      </c>
      <c r="H150">
        <v>16217.4</v>
      </c>
      <c r="I150">
        <v>14631.5</v>
      </c>
      <c r="J150">
        <v>1588.4</v>
      </c>
      <c r="K150">
        <v>7841.6</v>
      </c>
      <c r="L150">
        <v>48.353003559999998</v>
      </c>
      <c r="M150">
        <v>8375.7999999999993</v>
      </c>
      <c r="N150">
        <v>51.646996440000002</v>
      </c>
    </row>
    <row r="151" spans="1:14" x14ac:dyDescent="0.35">
      <c r="A151" t="s">
        <v>213</v>
      </c>
      <c r="B151" t="s">
        <v>21</v>
      </c>
      <c r="C151" t="s">
        <v>22</v>
      </c>
      <c r="D151" t="s">
        <v>17</v>
      </c>
      <c r="E151" t="s">
        <v>23</v>
      </c>
      <c r="F151" t="s">
        <v>19</v>
      </c>
      <c r="G151">
        <v>1998</v>
      </c>
      <c r="H151">
        <v>16148.3</v>
      </c>
      <c r="I151">
        <v>14108.3</v>
      </c>
      <c r="J151">
        <v>2048.1</v>
      </c>
      <c r="K151">
        <v>13480.8</v>
      </c>
      <c r="L151">
        <v>83.481233320000001</v>
      </c>
      <c r="M151">
        <v>2667.5</v>
      </c>
      <c r="N151">
        <v>16.518766679999999</v>
      </c>
    </row>
    <row r="152" spans="1:14" x14ac:dyDescent="0.35">
      <c r="A152" t="s">
        <v>214</v>
      </c>
      <c r="B152" t="s">
        <v>15</v>
      </c>
      <c r="C152" t="s">
        <v>34</v>
      </c>
      <c r="D152" t="s">
        <v>17</v>
      </c>
      <c r="E152" t="s">
        <v>23</v>
      </c>
      <c r="F152" t="s">
        <v>19</v>
      </c>
      <c r="G152">
        <v>2012</v>
      </c>
      <c r="H152">
        <v>16111.6</v>
      </c>
      <c r="I152">
        <v>14817.7</v>
      </c>
      <c r="J152">
        <v>1297.5999999999999</v>
      </c>
      <c r="K152">
        <v>12881.3</v>
      </c>
      <c r="L152">
        <v>79.950470469999999</v>
      </c>
      <c r="M152">
        <v>3230.3</v>
      </c>
      <c r="N152">
        <v>20.049529530000001</v>
      </c>
    </row>
    <row r="153" spans="1:14" x14ac:dyDescent="0.35">
      <c r="A153" t="s">
        <v>215</v>
      </c>
      <c r="B153" t="s">
        <v>15</v>
      </c>
      <c r="C153" t="s">
        <v>16</v>
      </c>
      <c r="D153" t="s">
        <v>17</v>
      </c>
      <c r="E153" t="s">
        <v>18</v>
      </c>
      <c r="F153" t="s">
        <v>19</v>
      </c>
      <c r="G153">
        <v>2009</v>
      </c>
      <c r="H153">
        <v>16021.1</v>
      </c>
      <c r="I153">
        <v>11602.1</v>
      </c>
      <c r="J153">
        <v>4424.8</v>
      </c>
      <c r="K153">
        <v>8229.4</v>
      </c>
      <c r="L153">
        <v>51.366011069999999</v>
      </c>
      <c r="M153">
        <v>7791.7</v>
      </c>
      <c r="N153">
        <v>48.633988930000001</v>
      </c>
    </row>
    <row r="154" spans="1:14" x14ac:dyDescent="0.35">
      <c r="A154" t="s">
        <v>216</v>
      </c>
      <c r="B154" t="s">
        <v>15</v>
      </c>
      <c r="C154" t="s">
        <v>22</v>
      </c>
      <c r="D154" t="s">
        <v>17</v>
      </c>
      <c r="E154" t="s">
        <v>18</v>
      </c>
      <c r="F154" t="s">
        <v>19</v>
      </c>
      <c r="G154">
        <v>2006</v>
      </c>
      <c r="H154">
        <v>15952.2</v>
      </c>
      <c r="I154">
        <v>4000.7</v>
      </c>
      <c r="J154">
        <v>11957.2</v>
      </c>
      <c r="K154">
        <v>2951.3</v>
      </c>
      <c r="L154">
        <v>18.500896430000001</v>
      </c>
      <c r="M154">
        <v>13000.9</v>
      </c>
      <c r="N154">
        <v>81.499103570000003</v>
      </c>
    </row>
    <row r="155" spans="1:14" x14ac:dyDescent="0.35">
      <c r="A155" t="s">
        <v>217</v>
      </c>
      <c r="B155" t="s">
        <v>15</v>
      </c>
      <c r="C155" t="s">
        <v>60</v>
      </c>
      <c r="D155" t="s">
        <v>17</v>
      </c>
      <c r="E155" t="s">
        <v>61</v>
      </c>
      <c r="F155" t="s">
        <v>19</v>
      </c>
      <c r="G155">
        <v>2013</v>
      </c>
      <c r="H155">
        <v>15921.1</v>
      </c>
      <c r="I155">
        <v>12030.1</v>
      </c>
      <c r="J155">
        <v>3896.3</v>
      </c>
      <c r="K155">
        <v>527.5</v>
      </c>
      <c r="L155">
        <v>3.3132132830000001</v>
      </c>
      <c r="M155">
        <v>15393.6</v>
      </c>
      <c r="N155">
        <v>96.686786720000001</v>
      </c>
    </row>
    <row r="156" spans="1:14" x14ac:dyDescent="0.35">
      <c r="A156" t="s">
        <v>218</v>
      </c>
      <c r="B156" t="s">
        <v>15</v>
      </c>
      <c r="C156" t="s">
        <v>16</v>
      </c>
      <c r="D156" t="s">
        <v>17</v>
      </c>
      <c r="E156" t="s">
        <v>28</v>
      </c>
      <c r="F156" t="s">
        <v>19</v>
      </c>
      <c r="G156">
        <v>2014</v>
      </c>
      <c r="H156">
        <v>15876.2</v>
      </c>
      <c r="I156">
        <v>12905.1</v>
      </c>
      <c r="J156">
        <v>2982.4</v>
      </c>
      <c r="K156">
        <v>7353.2</v>
      </c>
      <c r="L156">
        <v>46.315869040000003</v>
      </c>
      <c r="M156">
        <v>8523</v>
      </c>
      <c r="N156">
        <v>53.684130959999997</v>
      </c>
    </row>
    <row r="157" spans="1:14" x14ac:dyDescent="0.35">
      <c r="A157" t="s">
        <v>219</v>
      </c>
      <c r="B157" t="s">
        <v>79</v>
      </c>
      <c r="C157" t="s">
        <v>22</v>
      </c>
      <c r="D157" t="s">
        <v>17</v>
      </c>
      <c r="E157" t="s">
        <v>18</v>
      </c>
      <c r="F157" t="s">
        <v>49</v>
      </c>
      <c r="G157">
        <v>1998</v>
      </c>
      <c r="H157">
        <v>15775.7</v>
      </c>
      <c r="I157">
        <v>15257.4</v>
      </c>
      <c r="J157">
        <v>527.70000000000005</v>
      </c>
      <c r="K157">
        <v>11623</v>
      </c>
      <c r="L157">
        <v>73.676603889999996</v>
      </c>
      <c r="M157">
        <v>4152.7</v>
      </c>
      <c r="N157">
        <v>26.323396110000001</v>
      </c>
    </row>
    <row r="158" spans="1:14" x14ac:dyDescent="0.35">
      <c r="A158" t="s">
        <v>220</v>
      </c>
      <c r="B158" t="s">
        <v>15</v>
      </c>
      <c r="C158" t="s">
        <v>22</v>
      </c>
      <c r="D158" t="s">
        <v>17</v>
      </c>
      <c r="E158" t="s">
        <v>18</v>
      </c>
      <c r="F158" t="s">
        <v>19</v>
      </c>
      <c r="G158">
        <v>2010</v>
      </c>
      <c r="H158">
        <v>15746</v>
      </c>
      <c r="I158">
        <v>502.4</v>
      </c>
      <c r="J158">
        <v>15243.6</v>
      </c>
      <c r="K158">
        <v>142.80000000000001</v>
      </c>
      <c r="L158">
        <v>0.90689698969999999</v>
      </c>
      <c r="M158">
        <v>15603.2</v>
      </c>
      <c r="N158">
        <v>99.093103009999993</v>
      </c>
    </row>
    <row r="159" spans="1:14" x14ac:dyDescent="0.35">
      <c r="A159" t="s">
        <v>221</v>
      </c>
      <c r="B159" t="s">
        <v>21</v>
      </c>
      <c r="C159" t="s">
        <v>72</v>
      </c>
      <c r="D159" t="s">
        <v>73</v>
      </c>
      <c r="E159" t="s">
        <v>74</v>
      </c>
      <c r="F159" t="s">
        <v>19</v>
      </c>
      <c r="G159">
        <v>2002</v>
      </c>
      <c r="H159">
        <v>15723</v>
      </c>
      <c r="I159">
        <v>2035.3</v>
      </c>
      <c r="J159">
        <v>13703.9</v>
      </c>
      <c r="K159">
        <v>690.5</v>
      </c>
      <c r="L159">
        <v>4.391655536</v>
      </c>
      <c r="M159">
        <v>15032.5</v>
      </c>
      <c r="N159">
        <v>95.608344459999998</v>
      </c>
    </row>
    <row r="160" spans="1:14" x14ac:dyDescent="0.35">
      <c r="A160" t="s">
        <v>222</v>
      </c>
      <c r="B160" t="s">
        <v>15</v>
      </c>
      <c r="C160" t="s">
        <v>223</v>
      </c>
      <c r="D160" t="s">
        <v>25</v>
      </c>
      <c r="E160" t="s">
        <v>18</v>
      </c>
      <c r="F160" t="s">
        <v>19</v>
      </c>
      <c r="G160">
        <v>2016</v>
      </c>
      <c r="H160">
        <v>15684.7</v>
      </c>
      <c r="I160">
        <v>7885.7</v>
      </c>
      <c r="J160">
        <v>7799</v>
      </c>
      <c r="K160">
        <v>3430.6</v>
      </c>
      <c r="L160">
        <v>21.87227043</v>
      </c>
      <c r="M160">
        <v>12254.1</v>
      </c>
      <c r="N160">
        <v>78.12772957</v>
      </c>
    </row>
    <row r="161" spans="1:14" x14ac:dyDescent="0.35">
      <c r="A161" t="s">
        <v>224</v>
      </c>
      <c r="B161" t="s">
        <v>15</v>
      </c>
      <c r="C161" t="s">
        <v>223</v>
      </c>
      <c r="D161" t="s">
        <v>25</v>
      </c>
      <c r="E161" t="s">
        <v>83</v>
      </c>
      <c r="F161" t="s">
        <v>19</v>
      </c>
      <c r="G161">
        <v>2017</v>
      </c>
      <c r="H161">
        <v>15638.8</v>
      </c>
      <c r="I161">
        <v>13216.1</v>
      </c>
      <c r="J161">
        <v>2427.1999999999998</v>
      </c>
      <c r="K161">
        <v>84.5</v>
      </c>
      <c r="L161">
        <v>0.54032278690000002</v>
      </c>
      <c r="M161">
        <v>15554.3</v>
      </c>
      <c r="N161">
        <v>99.459677209999995</v>
      </c>
    </row>
    <row r="162" spans="1:14" x14ac:dyDescent="0.35">
      <c r="A162" t="s">
        <v>225</v>
      </c>
      <c r="B162" t="s">
        <v>15</v>
      </c>
      <c r="C162" t="s">
        <v>22</v>
      </c>
      <c r="D162" t="s">
        <v>17</v>
      </c>
      <c r="E162" t="s">
        <v>18</v>
      </c>
      <c r="F162" t="s">
        <v>49</v>
      </c>
      <c r="G162">
        <v>2013</v>
      </c>
      <c r="H162">
        <v>15562.1</v>
      </c>
      <c r="I162">
        <v>13694</v>
      </c>
      <c r="J162">
        <v>1874.1</v>
      </c>
      <c r="K162">
        <v>4814.8999999999996</v>
      </c>
      <c r="L162">
        <v>30.939911710000001</v>
      </c>
      <c r="M162">
        <v>10747.2</v>
      </c>
      <c r="N162">
        <v>69.060088289999996</v>
      </c>
    </row>
    <row r="163" spans="1:14" x14ac:dyDescent="0.35">
      <c r="A163" t="s">
        <v>226</v>
      </c>
      <c r="B163" t="s">
        <v>15</v>
      </c>
      <c r="C163" t="s">
        <v>95</v>
      </c>
      <c r="D163" t="s">
        <v>17</v>
      </c>
      <c r="E163" t="s">
        <v>18</v>
      </c>
      <c r="F163" t="s">
        <v>19</v>
      </c>
      <c r="G163">
        <v>2018</v>
      </c>
      <c r="H163">
        <v>15561.7</v>
      </c>
      <c r="I163">
        <v>10487.9</v>
      </c>
      <c r="J163">
        <v>5077.6000000000004</v>
      </c>
      <c r="K163">
        <v>6776.1</v>
      </c>
      <c r="L163">
        <v>43.543443199999999</v>
      </c>
      <c r="M163">
        <v>8785.6</v>
      </c>
      <c r="N163">
        <v>56.456556800000001</v>
      </c>
    </row>
    <row r="164" spans="1:14" x14ac:dyDescent="0.35">
      <c r="A164" t="s">
        <v>227</v>
      </c>
      <c r="B164" t="s">
        <v>21</v>
      </c>
      <c r="C164" t="s">
        <v>167</v>
      </c>
      <c r="D164" t="s">
        <v>168</v>
      </c>
      <c r="E164" t="s">
        <v>169</v>
      </c>
      <c r="F164" t="s">
        <v>19</v>
      </c>
      <c r="G164">
        <v>2011</v>
      </c>
      <c r="H164">
        <v>15528.2</v>
      </c>
      <c r="I164">
        <v>7743.7</v>
      </c>
      <c r="J164">
        <v>7783.6</v>
      </c>
      <c r="K164">
        <v>7736.5</v>
      </c>
      <c r="L164">
        <v>49.822258859999998</v>
      </c>
      <c r="M164">
        <v>7791.7</v>
      </c>
      <c r="N164">
        <v>50.177741140000002</v>
      </c>
    </row>
    <row r="165" spans="1:14" x14ac:dyDescent="0.35">
      <c r="A165" t="s">
        <v>228</v>
      </c>
      <c r="B165" t="s">
        <v>21</v>
      </c>
      <c r="C165" t="s">
        <v>167</v>
      </c>
      <c r="D165" t="s">
        <v>168</v>
      </c>
      <c r="E165" t="s">
        <v>23</v>
      </c>
      <c r="F165" t="s">
        <v>19</v>
      </c>
      <c r="G165">
        <v>2012</v>
      </c>
      <c r="H165">
        <v>15525.6</v>
      </c>
      <c r="I165">
        <v>11131.7</v>
      </c>
      <c r="J165">
        <v>4374.8</v>
      </c>
      <c r="K165">
        <v>3212</v>
      </c>
      <c r="L165">
        <v>20.6884114</v>
      </c>
      <c r="M165">
        <v>12313.6</v>
      </c>
      <c r="N165">
        <v>79.311588599999993</v>
      </c>
    </row>
    <row r="166" spans="1:14" x14ac:dyDescent="0.35">
      <c r="A166" t="s">
        <v>229</v>
      </c>
      <c r="B166" t="s">
        <v>15</v>
      </c>
      <c r="C166" t="s">
        <v>22</v>
      </c>
      <c r="D166" t="s">
        <v>17</v>
      </c>
      <c r="E166" t="s">
        <v>52</v>
      </c>
      <c r="F166" t="s">
        <v>49</v>
      </c>
      <c r="G166">
        <v>1990</v>
      </c>
      <c r="H166">
        <v>15453.3</v>
      </c>
      <c r="I166">
        <v>15342.6</v>
      </c>
      <c r="J166">
        <v>118.3</v>
      </c>
      <c r="K166">
        <v>15333.7</v>
      </c>
      <c r="L166">
        <v>99.226055279999997</v>
      </c>
      <c r="M166">
        <v>119.6</v>
      </c>
      <c r="N166">
        <v>0.77394472380000001</v>
      </c>
    </row>
    <row r="167" spans="1:14" x14ac:dyDescent="0.35">
      <c r="A167" t="s">
        <v>230</v>
      </c>
      <c r="B167" t="s">
        <v>15</v>
      </c>
      <c r="C167" t="s">
        <v>22</v>
      </c>
      <c r="D167" t="s">
        <v>17</v>
      </c>
      <c r="E167" t="s">
        <v>18</v>
      </c>
      <c r="F167" t="s">
        <v>19</v>
      </c>
      <c r="G167">
        <v>2011</v>
      </c>
      <c r="H167">
        <v>15329.4</v>
      </c>
      <c r="I167">
        <v>6848.7</v>
      </c>
      <c r="J167">
        <v>8480.7000000000007</v>
      </c>
      <c r="K167">
        <v>2898.8</v>
      </c>
      <c r="L167">
        <v>18.91006823</v>
      </c>
      <c r="M167">
        <v>12430.6</v>
      </c>
      <c r="N167">
        <v>81.089931770000007</v>
      </c>
    </row>
    <row r="168" spans="1:14" x14ac:dyDescent="0.35">
      <c r="A168" t="s">
        <v>231</v>
      </c>
      <c r="B168" t="s">
        <v>15</v>
      </c>
      <c r="C168" t="s">
        <v>22</v>
      </c>
      <c r="D168" t="s">
        <v>17</v>
      </c>
      <c r="E168" t="s">
        <v>18</v>
      </c>
      <c r="F168" t="s">
        <v>19</v>
      </c>
      <c r="G168">
        <v>2017</v>
      </c>
      <c r="H168">
        <v>15252.2</v>
      </c>
      <c r="I168">
        <v>13192.5</v>
      </c>
      <c r="J168">
        <v>2067.1</v>
      </c>
      <c r="K168">
        <v>7139.4</v>
      </c>
      <c r="L168">
        <v>46.808984930000001</v>
      </c>
      <c r="M168">
        <v>8112.8</v>
      </c>
      <c r="N168">
        <v>53.191015069999999</v>
      </c>
    </row>
    <row r="169" spans="1:14" x14ac:dyDescent="0.35">
      <c r="A169" t="s">
        <v>232</v>
      </c>
      <c r="B169" t="s">
        <v>15</v>
      </c>
      <c r="C169" t="s">
        <v>72</v>
      </c>
      <c r="D169" t="s">
        <v>233</v>
      </c>
      <c r="E169" t="s">
        <v>74</v>
      </c>
      <c r="F169" t="s">
        <v>19</v>
      </c>
      <c r="G169">
        <v>1992</v>
      </c>
      <c r="H169">
        <v>15240.4</v>
      </c>
      <c r="I169">
        <v>10857.5</v>
      </c>
      <c r="J169">
        <v>4397.5</v>
      </c>
      <c r="K169">
        <v>594.9</v>
      </c>
      <c r="L169">
        <v>3.9034408549999999</v>
      </c>
      <c r="M169">
        <v>14645.5</v>
      </c>
      <c r="N169">
        <v>96.096559150000004</v>
      </c>
    </row>
    <row r="170" spans="1:14" x14ac:dyDescent="0.35">
      <c r="A170" t="s">
        <v>234</v>
      </c>
      <c r="B170" t="s">
        <v>15</v>
      </c>
      <c r="C170" t="s">
        <v>22</v>
      </c>
      <c r="D170" t="s">
        <v>17</v>
      </c>
      <c r="E170" t="s">
        <v>18</v>
      </c>
      <c r="F170" t="s">
        <v>19</v>
      </c>
      <c r="G170">
        <v>2006</v>
      </c>
      <c r="H170">
        <v>15133</v>
      </c>
      <c r="I170">
        <v>11606.5</v>
      </c>
      <c r="J170">
        <v>3518.6</v>
      </c>
      <c r="K170">
        <v>1928.5</v>
      </c>
      <c r="L170">
        <v>12.74367277</v>
      </c>
      <c r="M170">
        <v>13204.5</v>
      </c>
      <c r="N170">
        <v>87.256327229999997</v>
      </c>
    </row>
    <row r="171" spans="1:14" x14ac:dyDescent="0.35">
      <c r="A171" t="s">
        <v>235</v>
      </c>
      <c r="B171" t="s">
        <v>15</v>
      </c>
      <c r="C171" t="s">
        <v>22</v>
      </c>
      <c r="D171" t="s">
        <v>17</v>
      </c>
      <c r="E171" t="s">
        <v>18</v>
      </c>
      <c r="F171" t="s">
        <v>19</v>
      </c>
      <c r="G171">
        <v>2008</v>
      </c>
      <c r="H171">
        <v>15086.8</v>
      </c>
      <c r="I171">
        <v>10607.6</v>
      </c>
      <c r="J171">
        <v>4483.8999999999996</v>
      </c>
      <c r="K171">
        <v>5835.1</v>
      </c>
      <c r="L171">
        <v>38.67685659</v>
      </c>
      <c r="M171">
        <v>9251.7000000000007</v>
      </c>
      <c r="N171">
        <v>61.32314341</v>
      </c>
    </row>
    <row r="172" spans="1:14" x14ac:dyDescent="0.35">
      <c r="A172" t="s">
        <v>236</v>
      </c>
      <c r="B172" t="s">
        <v>15</v>
      </c>
      <c r="C172" t="s">
        <v>22</v>
      </c>
      <c r="D172" t="s">
        <v>25</v>
      </c>
      <c r="E172" t="s">
        <v>26</v>
      </c>
      <c r="F172" t="s">
        <v>19</v>
      </c>
      <c r="G172">
        <v>2010</v>
      </c>
      <c r="H172">
        <v>15041.1</v>
      </c>
      <c r="I172">
        <v>4978.8999999999996</v>
      </c>
      <c r="J172">
        <v>10062.1</v>
      </c>
      <c r="K172">
        <v>2069.9</v>
      </c>
      <c r="L172">
        <v>13.76162648</v>
      </c>
      <c r="M172">
        <v>12971.2</v>
      </c>
      <c r="N172">
        <v>86.238373519999996</v>
      </c>
    </row>
    <row r="173" spans="1:14" x14ac:dyDescent="0.35">
      <c r="A173" t="s">
        <v>237</v>
      </c>
      <c r="B173" t="s">
        <v>15</v>
      </c>
      <c r="C173" t="s">
        <v>184</v>
      </c>
      <c r="D173" t="s">
        <v>17</v>
      </c>
      <c r="E173" t="s">
        <v>185</v>
      </c>
      <c r="F173" t="s">
        <v>49</v>
      </c>
      <c r="G173">
        <v>1962</v>
      </c>
      <c r="H173">
        <v>14992.7</v>
      </c>
      <c r="I173">
        <v>14837.1</v>
      </c>
      <c r="J173">
        <v>161.6</v>
      </c>
      <c r="K173">
        <v>13836</v>
      </c>
      <c r="L173">
        <v>92.284911989999998</v>
      </c>
      <c r="M173">
        <v>1156.7</v>
      </c>
      <c r="N173">
        <v>7.7150880089999996</v>
      </c>
    </row>
    <row r="174" spans="1:14" x14ac:dyDescent="0.35">
      <c r="A174" t="s">
        <v>238</v>
      </c>
      <c r="B174" t="s">
        <v>15</v>
      </c>
      <c r="C174" t="s">
        <v>46</v>
      </c>
      <c r="D174" t="s">
        <v>47</v>
      </c>
      <c r="E174" t="s">
        <v>48</v>
      </c>
      <c r="F174" t="s">
        <v>49</v>
      </c>
      <c r="G174">
        <v>2018</v>
      </c>
      <c r="H174">
        <v>14947.4</v>
      </c>
      <c r="I174">
        <v>14819</v>
      </c>
      <c r="J174">
        <v>136.5</v>
      </c>
      <c r="K174">
        <v>13482.3</v>
      </c>
      <c r="L174">
        <v>90.198295360000003</v>
      </c>
      <c r="M174">
        <v>1465.1</v>
      </c>
      <c r="N174">
        <v>9.8017046440000009</v>
      </c>
    </row>
    <row r="175" spans="1:14" x14ac:dyDescent="0.35">
      <c r="A175" t="s">
        <v>239</v>
      </c>
      <c r="B175" t="s">
        <v>15</v>
      </c>
      <c r="C175" t="s">
        <v>72</v>
      </c>
      <c r="D175" t="s">
        <v>233</v>
      </c>
      <c r="E175" t="s">
        <v>74</v>
      </c>
      <c r="F175" t="s">
        <v>19</v>
      </c>
      <c r="G175">
        <v>2012</v>
      </c>
      <c r="H175">
        <v>14897.8</v>
      </c>
      <c r="I175">
        <v>12456.5</v>
      </c>
      <c r="J175">
        <v>2450</v>
      </c>
      <c r="K175">
        <v>1543.3</v>
      </c>
      <c r="L175">
        <v>10.35924767</v>
      </c>
      <c r="M175">
        <v>13354.5</v>
      </c>
      <c r="N175">
        <v>89.640752329999998</v>
      </c>
    </row>
    <row r="176" spans="1:14" x14ac:dyDescent="0.35">
      <c r="A176" t="s">
        <v>240</v>
      </c>
      <c r="B176" t="s">
        <v>15</v>
      </c>
      <c r="C176" t="s">
        <v>22</v>
      </c>
      <c r="D176" t="s">
        <v>17</v>
      </c>
      <c r="E176" t="s">
        <v>28</v>
      </c>
      <c r="F176" t="s">
        <v>19</v>
      </c>
      <c r="G176">
        <v>2006</v>
      </c>
      <c r="H176">
        <v>14888.6</v>
      </c>
      <c r="I176">
        <v>8808.5</v>
      </c>
      <c r="J176">
        <v>6090.2</v>
      </c>
      <c r="K176">
        <v>8012</v>
      </c>
      <c r="L176">
        <v>53.81298443</v>
      </c>
      <c r="M176">
        <v>6876.6</v>
      </c>
      <c r="N176">
        <v>46.18701557</v>
      </c>
    </row>
    <row r="177" spans="1:14" x14ac:dyDescent="0.35">
      <c r="A177" t="s">
        <v>241</v>
      </c>
      <c r="B177" t="s">
        <v>15</v>
      </c>
      <c r="C177" t="s">
        <v>22</v>
      </c>
      <c r="D177" t="s">
        <v>17</v>
      </c>
      <c r="E177" t="s">
        <v>18</v>
      </c>
      <c r="F177" t="s">
        <v>19</v>
      </c>
      <c r="G177">
        <v>2005</v>
      </c>
      <c r="H177">
        <v>14880.2</v>
      </c>
      <c r="I177">
        <v>7106.1</v>
      </c>
      <c r="J177">
        <v>7779.1</v>
      </c>
      <c r="K177">
        <v>1618.8</v>
      </c>
      <c r="L177">
        <v>10.878886039999999</v>
      </c>
      <c r="M177">
        <v>13261.4</v>
      </c>
      <c r="N177">
        <v>89.121113960000002</v>
      </c>
    </row>
    <row r="178" spans="1:14" x14ac:dyDescent="0.35">
      <c r="A178" t="s">
        <v>242</v>
      </c>
      <c r="B178" t="s">
        <v>21</v>
      </c>
      <c r="C178" t="s">
        <v>243</v>
      </c>
      <c r="D178" t="s">
        <v>25</v>
      </c>
      <c r="E178" t="s">
        <v>23</v>
      </c>
      <c r="F178" t="s">
        <v>19</v>
      </c>
      <c r="G178">
        <v>2016</v>
      </c>
      <c r="H178">
        <v>14558.4</v>
      </c>
      <c r="I178">
        <v>10084</v>
      </c>
      <c r="J178">
        <v>4479.1000000000004</v>
      </c>
      <c r="K178">
        <v>5316.8</v>
      </c>
      <c r="L178">
        <v>36.52049676</v>
      </c>
      <c r="M178">
        <v>9241.6</v>
      </c>
      <c r="N178">
        <v>63.47950324</v>
      </c>
    </row>
    <row r="179" spans="1:14" x14ac:dyDescent="0.35">
      <c r="A179" t="s">
        <v>244</v>
      </c>
      <c r="B179" t="s">
        <v>21</v>
      </c>
      <c r="C179" t="s">
        <v>34</v>
      </c>
      <c r="D179" t="s">
        <v>17</v>
      </c>
      <c r="E179" t="s">
        <v>23</v>
      </c>
      <c r="F179" t="s">
        <v>19</v>
      </c>
      <c r="G179">
        <v>2008</v>
      </c>
      <c r="H179">
        <v>14544.4</v>
      </c>
      <c r="I179">
        <v>10175.299999999999</v>
      </c>
      <c r="J179">
        <v>4376</v>
      </c>
      <c r="K179">
        <v>6747.8</v>
      </c>
      <c r="L179">
        <v>46.394488600000003</v>
      </c>
      <c r="M179">
        <v>7796.6</v>
      </c>
      <c r="N179">
        <v>53.605511399999997</v>
      </c>
    </row>
    <row r="180" spans="1:14" x14ac:dyDescent="0.35">
      <c r="A180" t="s">
        <v>245</v>
      </c>
      <c r="B180" t="s">
        <v>15</v>
      </c>
      <c r="C180" t="s">
        <v>246</v>
      </c>
      <c r="D180" t="s">
        <v>17</v>
      </c>
      <c r="E180" t="s">
        <v>28</v>
      </c>
      <c r="F180" t="s">
        <v>19</v>
      </c>
      <c r="G180">
        <v>2017</v>
      </c>
      <c r="H180">
        <v>14512.1</v>
      </c>
      <c r="I180">
        <v>13579.3</v>
      </c>
      <c r="J180">
        <v>938.4</v>
      </c>
      <c r="K180">
        <v>12111.7</v>
      </c>
      <c r="L180">
        <v>83.459320149999996</v>
      </c>
      <c r="M180">
        <v>2400.4</v>
      </c>
      <c r="N180">
        <v>16.54067985</v>
      </c>
    </row>
    <row r="181" spans="1:14" x14ac:dyDescent="0.35">
      <c r="A181" t="s">
        <v>247</v>
      </c>
      <c r="B181" t="s">
        <v>15</v>
      </c>
      <c r="C181" t="s">
        <v>22</v>
      </c>
      <c r="D181" t="s">
        <v>17</v>
      </c>
      <c r="E181" t="s">
        <v>52</v>
      </c>
      <c r="F181" t="s">
        <v>49</v>
      </c>
      <c r="G181">
        <v>2003</v>
      </c>
      <c r="H181">
        <v>14507.7</v>
      </c>
      <c r="I181">
        <v>10717.2</v>
      </c>
      <c r="J181">
        <v>3796.5</v>
      </c>
      <c r="K181">
        <v>12380.2</v>
      </c>
      <c r="L181">
        <v>85.335373630000007</v>
      </c>
      <c r="M181">
        <v>2127.5</v>
      </c>
      <c r="N181">
        <v>14.664626370000001</v>
      </c>
    </row>
    <row r="182" spans="1:14" x14ac:dyDescent="0.35">
      <c r="A182" t="s">
        <v>248</v>
      </c>
      <c r="B182" t="s">
        <v>15</v>
      </c>
      <c r="C182" t="s">
        <v>16</v>
      </c>
      <c r="D182" t="s">
        <v>17</v>
      </c>
      <c r="E182" t="s">
        <v>28</v>
      </c>
      <c r="F182" t="s">
        <v>19</v>
      </c>
      <c r="G182">
        <v>2013</v>
      </c>
      <c r="H182">
        <v>14506.3</v>
      </c>
      <c r="I182">
        <v>13237.2</v>
      </c>
      <c r="J182">
        <v>1275</v>
      </c>
      <c r="K182">
        <v>7177.2</v>
      </c>
      <c r="L182">
        <v>49.476434380000001</v>
      </c>
      <c r="M182">
        <v>7329.1</v>
      </c>
      <c r="N182">
        <v>50.523565619999999</v>
      </c>
    </row>
    <row r="183" spans="1:14" x14ac:dyDescent="0.35">
      <c r="A183" t="s">
        <v>249</v>
      </c>
      <c r="B183" t="s">
        <v>15</v>
      </c>
      <c r="C183" t="s">
        <v>167</v>
      </c>
      <c r="D183" t="s">
        <v>168</v>
      </c>
      <c r="E183" t="s">
        <v>169</v>
      </c>
      <c r="F183" t="s">
        <v>49</v>
      </c>
      <c r="G183">
        <v>2007</v>
      </c>
      <c r="H183">
        <v>14404.4</v>
      </c>
      <c r="I183">
        <v>11024</v>
      </c>
      <c r="J183">
        <v>3391.4</v>
      </c>
      <c r="K183">
        <v>10484.4</v>
      </c>
      <c r="L183">
        <v>72.786093140000006</v>
      </c>
      <c r="M183">
        <v>3920</v>
      </c>
      <c r="N183">
        <v>27.213906860000002</v>
      </c>
    </row>
    <row r="184" spans="1:14" x14ac:dyDescent="0.35">
      <c r="A184" t="s">
        <v>250</v>
      </c>
      <c r="B184" t="s">
        <v>15</v>
      </c>
      <c r="C184" t="s">
        <v>22</v>
      </c>
      <c r="D184" t="s">
        <v>17</v>
      </c>
      <c r="E184" t="s">
        <v>18</v>
      </c>
      <c r="F184" t="s">
        <v>19</v>
      </c>
      <c r="G184">
        <v>2015</v>
      </c>
      <c r="H184">
        <v>14402.6</v>
      </c>
      <c r="I184">
        <v>13416.1</v>
      </c>
      <c r="J184">
        <v>990</v>
      </c>
      <c r="K184">
        <v>791.1</v>
      </c>
      <c r="L184">
        <v>5.4927582519999998</v>
      </c>
      <c r="M184">
        <v>13611.5</v>
      </c>
      <c r="N184">
        <v>94.507241750000006</v>
      </c>
    </row>
    <row r="185" spans="1:14" x14ac:dyDescent="0.35">
      <c r="A185" t="s">
        <v>251</v>
      </c>
      <c r="B185" t="s">
        <v>15</v>
      </c>
      <c r="C185" t="s">
        <v>22</v>
      </c>
      <c r="D185" t="s">
        <v>17</v>
      </c>
      <c r="E185" t="s">
        <v>52</v>
      </c>
      <c r="F185" t="s">
        <v>49</v>
      </c>
      <c r="G185">
        <v>2005</v>
      </c>
      <c r="H185">
        <v>14402.3</v>
      </c>
      <c r="I185">
        <v>4417.2</v>
      </c>
      <c r="J185">
        <v>9988.5</v>
      </c>
      <c r="K185">
        <v>13038</v>
      </c>
      <c r="L185">
        <v>90.52720746</v>
      </c>
      <c r="M185">
        <v>1364.3</v>
      </c>
      <c r="N185">
        <v>9.4727925400000004</v>
      </c>
    </row>
    <row r="186" spans="1:14" x14ac:dyDescent="0.35">
      <c r="A186" t="s">
        <v>252</v>
      </c>
      <c r="B186" t="s">
        <v>15</v>
      </c>
      <c r="C186" t="s">
        <v>95</v>
      </c>
      <c r="D186" t="s">
        <v>17</v>
      </c>
      <c r="E186" t="s">
        <v>52</v>
      </c>
      <c r="F186" t="s">
        <v>19</v>
      </c>
      <c r="G186">
        <v>2008</v>
      </c>
      <c r="H186">
        <v>14387.1</v>
      </c>
      <c r="I186">
        <v>13232.8</v>
      </c>
      <c r="J186">
        <v>1165.4000000000001</v>
      </c>
      <c r="K186">
        <v>12678.8</v>
      </c>
      <c r="L186">
        <v>88.126168579999998</v>
      </c>
      <c r="M186">
        <v>1708.3</v>
      </c>
      <c r="N186">
        <v>11.87383142</v>
      </c>
    </row>
    <row r="187" spans="1:14" x14ac:dyDescent="0.35">
      <c r="A187" t="s">
        <v>253</v>
      </c>
      <c r="B187" t="s">
        <v>15</v>
      </c>
      <c r="C187" t="s">
        <v>243</v>
      </c>
      <c r="D187" t="s">
        <v>25</v>
      </c>
      <c r="E187" t="s">
        <v>26</v>
      </c>
      <c r="F187" t="s">
        <v>19</v>
      </c>
      <c r="G187">
        <v>2020</v>
      </c>
      <c r="H187">
        <v>14345.2</v>
      </c>
      <c r="I187">
        <v>7659.9</v>
      </c>
      <c r="J187">
        <v>6698.1</v>
      </c>
      <c r="K187">
        <v>4914.8999999999996</v>
      </c>
      <c r="L187">
        <v>34.261634549999997</v>
      </c>
      <c r="M187">
        <v>9430.2999999999993</v>
      </c>
      <c r="N187">
        <v>65.738365450000003</v>
      </c>
    </row>
    <row r="188" spans="1:14" x14ac:dyDescent="0.35">
      <c r="A188" t="s">
        <v>254</v>
      </c>
      <c r="B188" t="s">
        <v>15</v>
      </c>
      <c r="C188" t="s">
        <v>43</v>
      </c>
      <c r="D188" t="s">
        <v>25</v>
      </c>
      <c r="E188" t="s">
        <v>83</v>
      </c>
      <c r="F188" t="s">
        <v>49</v>
      </c>
      <c r="G188">
        <v>2015</v>
      </c>
      <c r="H188">
        <v>14293.7</v>
      </c>
      <c r="I188">
        <v>11695.5</v>
      </c>
      <c r="J188">
        <v>2609</v>
      </c>
      <c r="K188">
        <v>8588.9</v>
      </c>
      <c r="L188">
        <v>60.088710409999997</v>
      </c>
      <c r="M188">
        <v>5704.8</v>
      </c>
      <c r="N188">
        <v>39.911289590000003</v>
      </c>
    </row>
    <row r="189" spans="1:14" x14ac:dyDescent="0.35">
      <c r="A189" t="s">
        <v>255</v>
      </c>
      <c r="B189" t="s">
        <v>21</v>
      </c>
      <c r="C189" t="s">
        <v>148</v>
      </c>
      <c r="D189" t="s">
        <v>17</v>
      </c>
      <c r="E189" t="s">
        <v>23</v>
      </c>
      <c r="F189" t="s">
        <v>19</v>
      </c>
      <c r="G189">
        <v>2008</v>
      </c>
      <c r="H189">
        <v>14221.3</v>
      </c>
      <c r="I189">
        <v>9372.1</v>
      </c>
      <c r="J189">
        <v>4858.7</v>
      </c>
      <c r="K189">
        <v>7138.3</v>
      </c>
      <c r="L189">
        <v>50.194426669999999</v>
      </c>
      <c r="M189">
        <v>7083</v>
      </c>
      <c r="N189">
        <v>49.805573330000001</v>
      </c>
    </row>
    <row r="190" spans="1:14" x14ac:dyDescent="0.35">
      <c r="A190" t="s">
        <v>256</v>
      </c>
      <c r="B190" t="s">
        <v>15</v>
      </c>
      <c r="C190" t="s">
        <v>90</v>
      </c>
      <c r="D190" t="s">
        <v>25</v>
      </c>
      <c r="E190" t="s">
        <v>91</v>
      </c>
      <c r="F190" t="s">
        <v>19</v>
      </c>
      <c r="G190">
        <v>2023</v>
      </c>
      <c r="H190">
        <v>14166.6</v>
      </c>
      <c r="I190">
        <v>7969.4</v>
      </c>
      <c r="J190">
        <v>6215.6</v>
      </c>
      <c r="K190">
        <v>3646.4</v>
      </c>
      <c r="L190">
        <v>25.73941524</v>
      </c>
      <c r="M190">
        <v>10520.2</v>
      </c>
      <c r="N190">
        <v>74.26058476</v>
      </c>
    </row>
    <row r="191" spans="1:14" x14ac:dyDescent="0.35">
      <c r="A191" t="s">
        <v>257</v>
      </c>
      <c r="B191" t="s">
        <v>15</v>
      </c>
      <c r="C191" t="s">
        <v>60</v>
      </c>
      <c r="D191" t="s">
        <v>258</v>
      </c>
      <c r="E191" t="s">
        <v>18</v>
      </c>
      <c r="F191" t="s">
        <v>19</v>
      </c>
      <c r="G191">
        <v>2013</v>
      </c>
      <c r="H191">
        <v>14127.8</v>
      </c>
      <c r="I191">
        <v>11142.3</v>
      </c>
      <c r="J191">
        <v>2993.2</v>
      </c>
      <c r="K191">
        <v>8903.2000000000007</v>
      </c>
      <c r="L191">
        <v>63.019012160000003</v>
      </c>
      <c r="M191">
        <v>5224.6000000000004</v>
      </c>
      <c r="N191">
        <v>36.980987839999997</v>
      </c>
    </row>
    <row r="192" spans="1:14" x14ac:dyDescent="0.35">
      <c r="A192" t="s">
        <v>259</v>
      </c>
      <c r="B192" t="s">
        <v>15</v>
      </c>
      <c r="C192" t="s">
        <v>22</v>
      </c>
      <c r="D192" t="s">
        <v>17</v>
      </c>
      <c r="E192" t="s">
        <v>18</v>
      </c>
      <c r="F192" t="s">
        <v>19</v>
      </c>
      <c r="G192">
        <v>1991</v>
      </c>
      <c r="H192">
        <v>14116.7</v>
      </c>
      <c r="I192">
        <v>13659.9</v>
      </c>
      <c r="J192">
        <v>462.4</v>
      </c>
      <c r="K192">
        <v>5423.2</v>
      </c>
      <c r="L192">
        <v>38.416910469999998</v>
      </c>
      <c r="M192">
        <v>8693.5</v>
      </c>
      <c r="N192">
        <v>61.583089530000002</v>
      </c>
    </row>
    <row r="193" spans="1:14" x14ac:dyDescent="0.35">
      <c r="A193" t="s">
        <v>260</v>
      </c>
      <c r="B193" t="s">
        <v>15</v>
      </c>
      <c r="C193" t="s">
        <v>34</v>
      </c>
      <c r="D193" t="s">
        <v>17</v>
      </c>
      <c r="E193" t="s">
        <v>58</v>
      </c>
      <c r="F193" t="s">
        <v>49</v>
      </c>
      <c r="G193">
        <v>2001</v>
      </c>
      <c r="H193">
        <v>14104.4</v>
      </c>
      <c r="I193">
        <v>14087.5</v>
      </c>
      <c r="J193">
        <v>23.4</v>
      </c>
      <c r="K193">
        <v>3963.9</v>
      </c>
      <c r="L193">
        <v>28.103995919999999</v>
      </c>
      <c r="M193">
        <v>10140.5</v>
      </c>
      <c r="N193">
        <v>71.896004079999997</v>
      </c>
    </row>
    <row r="194" spans="1:14" x14ac:dyDescent="0.35">
      <c r="A194" t="s">
        <v>261</v>
      </c>
      <c r="B194" t="s">
        <v>15</v>
      </c>
      <c r="C194" t="s">
        <v>86</v>
      </c>
      <c r="D194" t="s">
        <v>17</v>
      </c>
      <c r="E194" t="s">
        <v>23</v>
      </c>
      <c r="F194" t="s">
        <v>19</v>
      </c>
      <c r="G194">
        <v>2017</v>
      </c>
      <c r="H194">
        <v>14087.8</v>
      </c>
      <c r="I194">
        <v>14091.2</v>
      </c>
      <c r="J194">
        <v>0</v>
      </c>
      <c r="K194">
        <v>13608.5</v>
      </c>
      <c r="L194">
        <v>96.597765440000003</v>
      </c>
      <c r="M194">
        <v>479.3</v>
      </c>
      <c r="N194">
        <v>3.402234558</v>
      </c>
    </row>
    <row r="195" spans="1:14" x14ac:dyDescent="0.35">
      <c r="A195" t="s">
        <v>262</v>
      </c>
      <c r="B195" t="s">
        <v>15</v>
      </c>
      <c r="C195" t="s">
        <v>22</v>
      </c>
      <c r="D195" t="s">
        <v>25</v>
      </c>
      <c r="E195" t="s">
        <v>91</v>
      </c>
      <c r="F195" t="s">
        <v>49</v>
      </c>
      <c r="G195">
        <v>2022</v>
      </c>
      <c r="H195">
        <v>13999.3</v>
      </c>
      <c r="I195">
        <v>8094.6</v>
      </c>
      <c r="J195">
        <v>5914.6</v>
      </c>
      <c r="K195">
        <v>2001.5</v>
      </c>
      <c r="L195">
        <v>14.29714343</v>
      </c>
      <c r="M195">
        <v>11997.8</v>
      </c>
      <c r="N195">
        <v>85.702856569999994</v>
      </c>
    </row>
    <row r="196" spans="1:14" x14ac:dyDescent="0.35">
      <c r="A196" t="s">
        <v>263</v>
      </c>
      <c r="B196" t="s">
        <v>15</v>
      </c>
      <c r="C196" t="s">
        <v>43</v>
      </c>
      <c r="D196" t="s">
        <v>25</v>
      </c>
      <c r="E196" t="s">
        <v>23</v>
      </c>
      <c r="F196" t="s">
        <v>19</v>
      </c>
      <c r="G196">
        <v>2007</v>
      </c>
      <c r="H196">
        <v>13994.1</v>
      </c>
      <c r="I196">
        <v>8290.1</v>
      </c>
      <c r="J196">
        <v>5703.9</v>
      </c>
      <c r="K196">
        <v>3475.3</v>
      </c>
      <c r="L196">
        <v>24.834037200000001</v>
      </c>
      <c r="M196">
        <v>10518.8</v>
      </c>
      <c r="N196">
        <v>75.165962800000003</v>
      </c>
    </row>
    <row r="197" spans="1:14" x14ac:dyDescent="0.35">
      <c r="A197" t="s">
        <v>264</v>
      </c>
      <c r="B197" t="s">
        <v>15</v>
      </c>
      <c r="C197" t="s">
        <v>22</v>
      </c>
      <c r="D197" t="s">
        <v>25</v>
      </c>
      <c r="E197" t="s">
        <v>26</v>
      </c>
      <c r="F197" t="s">
        <v>19</v>
      </c>
      <c r="G197">
        <v>2009</v>
      </c>
      <c r="H197">
        <v>13994</v>
      </c>
      <c r="I197">
        <v>944.9</v>
      </c>
      <c r="J197">
        <v>13049.1</v>
      </c>
      <c r="K197">
        <v>136</v>
      </c>
      <c r="L197">
        <v>0.97184507649999996</v>
      </c>
      <c r="M197">
        <v>13858</v>
      </c>
      <c r="N197">
        <v>99.028154920000006</v>
      </c>
    </row>
    <row r="198" spans="1:14" x14ac:dyDescent="0.35">
      <c r="A198" t="s">
        <v>265</v>
      </c>
      <c r="B198" t="s">
        <v>15</v>
      </c>
      <c r="C198" t="s">
        <v>22</v>
      </c>
      <c r="D198" t="s">
        <v>17</v>
      </c>
      <c r="E198" t="s">
        <v>18</v>
      </c>
      <c r="F198" t="s">
        <v>19</v>
      </c>
      <c r="G198">
        <v>2007</v>
      </c>
      <c r="H198">
        <v>13978.6</v>
      </c>
      <c r="I198">
        <v>4090.4</v>
      </c>
      <c r="J198">
        <v>9888.1</v>
      </c>
      <c r="K198">
        <v>895.7</v>
      </c>
      <c r="L198">
        <v>6.4076516960000003</v>
      </c>
      <c r="M198">
        <v>13082.9</v>
      </c>
      <c r="N198">
        <v>93.592348299999998</v>
      </c>
    </row>
    <row r="199" spans="1:14" x14ac:dyDescent="0.35">
      <c r="A199" t="s">
        <v>266</v>
      </c>
      <c r="B199" t="s">
        <v>15</v>
      </c>
      <c r="C199" t="s">
        <v>22</v>
      </c>
      <c r="D199" t="s">
        <v>17</v>
      </c>
      <c r="E199" t="s">
        <v>18</v>
      </c>
      <c r="F199" t="s">
        <v>19</v>
      </c>
      <c r="G199">
        <v>2010</v>
      </c>
      <c r="H199">
        <v>13891.9</v>
      </c>
      <c r="I199">
        <v>9309.2000000000007</v>
      </c>
      <c r="J199">
        <v>4586.6000000000004</v>
      </c>
      <c r="K199">
        <v>12293.1</v>
      </c>
      <c r="L199">
        <v>88.491135119999996</v>
      </c>
      <c r="M199">
        <v>1598.8</v>
      </c>
      <c r="N199">
        <v>11.508864880000001</v>
      </c>
    </row>
    <row r="200" spans="1:14" x14ac:dyDescent="0.35">
      <c r="A200" t="s">
        <v>267</v>
      </c>
      <c r="B200" t="s">
        <v>15</v>
      </c>
      <c r="C200" t="s">
        <v>22</v>
      </c>
      <c r="D200" t="s">
        <v>17</v>
      </c>
      <c r="E200" t="s">
        <v>28</v>
      </c>
      <c r="F200" t="s">
        <v>19</v>
      </c>
      <c r="G200">
        <v>2011</v>
      </c>
      <c r="H200">
        <v>13890.6</v>
      </c>
      <c r="I200">
        <v>13739.5</v>
      </c>
      <c r="J200">
        <v>155.6</v>
      </c>
      <c r="K200">
        <v>8915.5</v>
      </c>
      <c r="L200">
        <v>64.183692570000005</v>
      </c>
      <c r="M200">
        <v>4975.1000000000004</v>
      </c>
      <c r="N200">
        <v>35.816307430000002</v>
      </c>
    </row>
    <row r="201" spans="1:14" x14ac:dyDescent="0.35">
      <c r="A201" t="s">
        <v>268</v>
      </c>
      <c r="B201" t="s">
        <v>15</v>
      </c>
      <c r="C201" t="s">
        <v>243</v>
      </c>
      <c r="D201" t="s">
        <v>25</v>
      </c>
      <c r="E201" t="s">
        <v>18</v>
      </c>
      <c r="F201" t="s">
        <v>19</v>
      </c>
      <c r="G201">
        <v>2014</v>
      </c>
      <c r="H201">
        <v>13734.1</v>
      </c>
      <c r="I201">
        <v>11278.9</v>
      </c>
      <c r="J201">
        <v>2462</v>
      </c>
      <c r="K201">
        <v>8953.7000000000007</v>
      </c>
      <c r="L201">
        <v>65.193205230000004</v>
      </c>
      <c r="M201">
        <v>4780.3999999999996</v>
      </c>
      <c r="N201">
        <v>34.806794770000003</v>
      </c>
    </row>
    <row r="202" spans="1:14" x14ac:dyDescent="0.35">
      <c r="A202" t="s">
        <v>269</v>
      </c>
      <c r="B202" t="s">
        <v>15</v>
      </c>
      <c r="C202" t="s">
        <v>22</v>
      </c>
      <c r="D202" t="s">
        <v>17</v>
      </c>
      <c r="E202" t="s">
        <v>18</v>
      </c>
      <c r="F202" t="s">
        <v>19</v>
      </c>
      <c r="G202">
        <v>2017</v>
      </c>
      <c r="H202">
        <v>13692</v>
      </c>
      <c r="I202">
        <v>6665</v>
      </c>
      <c r="J202">
        <v>7030</v>
      </c>
      <c r="K202">
        <v>4971.3</v>
      </c>
      <c r="L202">
        <v>36.308063099999998</v>
      </c>
      <c r="M202">
        <v>8720.7000000000007</v>
      </c>
      <c r="N202">
        <v>63.691936900000002</v>
      </c>
    </row>
    <row r="203" spans="1:14" x14ac:dyDescent="0.35">
      <c r="A203" t="s">
        <v>270</v>
      </c>
      <c r="B203" t="s">
        <v>15</v>
      </c>
      <c r="C203" t="s">
        <v>22</v>
      </c>
      <c r="D203" t="s">
        <v>17</v>
      </c>
      <c r="E203" t="s">
        <v>52</v>
      </c>
      <c r="F203" t="s">
        <v>49</v>
      </c>
      <c r="G203">
        <v>1985</v>
      </c>
      <c r="H203">
        <v>13683</v>
      </c>
      <c r="I203">
        <v>13689.3</v>
      </c>
      <c r="J203">
        <v>0</v>
      </c>
      <c r="K203">
        <v>13682.2</v>
      </c>
      <c r="L203">
        <v>99.994153330000003</v>
      </c>
      <c r="M203">
        <v>0.8</v>
      </c>
      <c r="N203">
        <v>5.8466710520000001E-3</v>
      </c>
    </row>
    <row r="204" spans="1:14" x14ac:dyDescent="0.35">
      <c r="A204" t="s">
        <v>271</v>
      </c>
      <c r="B204" t="s">
        <v>21</v>
      </c>
      <c r="C204" t="s">
        <v>22</v>
      </c>
      <c r="D204" t="s">
        <v>17</v>
      </c>
      <c r="E204" t="s">
        <v>23</v>
      </c>
      <c r="F204" t="s">
        <v>19</v>
      </c>
      <c r="G204">
        <v>1990</v>
      </c>
      <c r="H204">
        <v>13650.2</v>
      </c>
      <c r="I204">
        <v>12396.8</v>
      </c>
      <c r="J204">
        <v>1258.3</v>
      </c>
      <c r="K204">
        <v>10348.700000000001</v>
      </c>
      <c r="L204">
        <v>75.813541189999995</v>
      </c>
      <c r="M204">
        <v>3301.5</v>
      </c>
      <c r="N204">
        <v>24.186458810000001</v>
      </c>
    </row>
    <row r="205" spans="1:14" x14ac:dyDescent="0.35">
      <c r="A205" t="s">
        <v>272</v>
      </c>
      <c r="B205" t="s">
        <v>15</v>
      </c>
      <c r="C205" t="s">
        <v>22</v>
      </c>
      <c r="D205" t="s">
        <v>17</v>
      </c>
      <c r="E205" t="s">
        <v>273</v>
      </c>
      <c r="F205" t="s">
        <v>19</v>
      </c>
      <c r="G205">
        <v>2017</v>
      </c>
      <c r="H205">
        <v>13543.1</v>
      </c>
      <c r="I205">
        <v>12815.1</v>
      </c>
      <c r="J205">
        <v>728</v>
      </c>
      <c r="K205">
        <v>10726.1</v>
      </c>
      <c r="L205">
        <v>79.199740090000006</v>
      </c>
      <c r="M205">
        <v>2817</v>
      </c>
      <c r="N205">
        <v>20.800259910000001</v>
      </c>
    </row>
    <row r="206" spans="1:14" x14ac:dyDescent="0.35">
      <c r="A206" t="s">
        <v>274</v>
      </c>
      <c r="B206" t="s">
        <v>21</v>
      </c>
      <c r="C206" t="s">
        <v>22</v>
      </c>
      <c r="D206" t="s">
        <v>17</v>
      </c>
      <c r="E206" t="s">
        <v>18</v>
      </c>
      <c r="F206" t="s">
        <v>19</v>
      </c>
      <c r="G206">
        <v>2016</v>
      </c>
      <c r="H206">
        <v>13532</v>
      </c>
      <c r="I206">
        <v>7853.3</v>
      </c>
      <c r="J206">
        <v>5683.7</v>
      </c>
      <c r="K206">
        <v>4660.7</v>
      </c>
      <c r="L206">
        <v>34.442063259999998</v>
      </c>
      <c r="M206">
        <v>8871.2999999999993</v>
      </c>
      <c r="N206">
        <v>65.557936740000002</v>
      </c>
    </row>
    <row r="207" spans="1:14" x14ac:dyDescent="0.35">
      <c r="A207" t="s">
        <v>275</v>
      </c>
      <c r="B207" t="s">
        <v>15</v>
      </c>
      <c r="C207" t="s">
        <v>90</v>
      </c>
      <c r="D207" t="s">
        <v>25</v>
      </c>
      <c r="E207" t="s">
        <v>91</v>
      </c>
      <c r="F207" t="s">
        <v>19</v>
      </c>
      <c r="G207">
        <v>2016</v>
      </c>
      <c r="H207">
        <v>13503.4</v>
      </c>
      <c r="I207">
        <v>9602.2999999999993</v>
      </c>
      <c r="J207">
        <v>3932.5</v>
      </c>
      <c r="K207">
        <v>8044.7</v>
      </c>
      <c r="L207">
        <v>59.575366199999998</v>
      </c>
      <c r="M207">
        <v>5458.7</v>
      </c>
      <c r="N207">
        <v>40.424633800000002</v>
      </c>
    </row>
    <row r="208" spans="1:14" x14ac:dyDescent="0.35">
      <c r="A208" t="s">
        <v>276</v>
      </c>
      <c r="B208" t="s">
        <v>15</v>
      </c>
      <c r="C208" t="s">
        <v>22</v>
      </c>
      <c r="D208" t="s">
        <v>17</v>
      </c>
      <c r="E208" t="s">
        <v>28</v>
      </c>
      <c r="F208" t="s">
        <v>19</v>
      </c>
      <c r="G208">
        <v>2013</v>
      </c>
      <c r="H208">
        <v>13490.4</v>
      </c>
      <c r="I208">
        <v>9955.4</v>
      </c>
      <c r="J208">
        <v>3540.8</v>
      </c>
      <c r="K208">
        <v>8582.9</v>
      </c>
      <c r="L208">
        <v>63.622279550000002</v>
      </c>
      <c r="M208">
        <v>4907.5</v>
      </c>
      <c r="N208">
        <v>36.377720449999998</v>
      </c>
    </row>
    <row r="209" spans="1:14" x14ac:dyDescent="0.35">
      <c r="A209" t="s">
        <v>277</v>
      </c>
      <c r="B209" t="s">
        <v>15</v>
      </c>
      <c r="C209" t="s">
        <v>182</v>
      </c>
      <c r="D209" t="s">
        <v>17</v>
      </c>
      <c r="E209" t="s">
        <v>61</v>
      </c>
      <c r="F209" t="s">
        <v>19</v>
      </c>
      <c r="G209">
        <v>2012</v>
      </c>
      <c r="H209">
        <v>13468.7</v>
      </c>
      <c r="I209">
        <v>12222.3</v>
      </c>
      <c r="J209">
        <v>1249.7</v>
      </c>
      <c r="K209">
        <v>1202.8</v>
      </c>
      <c r="L209">
        <v>8.9303347760000005</v>
      </c>
      <c r="M209">
        <v>12265.9</v>
      </c>
      <c r="N209">
        <v>91.069665220000005</v>
      </c>
    </row>
    <row r="210" spans="1:14" x14ac:dyDescent="0.35">
      <c r="A210" t="s">
        <v>278</v>
      </c>
      <c r="B210" t="s">
        <v>15</v>
      </c>
      <c r="C210" t="s">
        <v>90</v>
      </c>
      <c r="D210" t="s">
        <v>25</v>
      </c>
      <c r="E210" t="s">
        <v>91</v>
      </c>
      <c r="F210" t="s">
        <v>49</v>
      </c>
      <c r="G210">
        <v>2003</v>
      </c>
      <c r="H210">
        <v>13433.6</v>
      </c>
      <c r="I210">
        <v>12366.7</v>
      </c>
      <c r="J210">
        <v>1072.9000000000001</v>
      </c>
      <c r="K210">
        <v>11154.7</v>
      </c>
      <c r="L210">
        <v>83.035820630000003</v>
      </c>
      <c r="M210">
        <v>2278.9</v>
      </c>
      <c r="N210">
        <v>16.96417937</v>
      </c>
    </row>
    <row r="211" spans="1:14" x14ac:dyDescent="0.35">
      <c r="A211" t="s">
        <v>279</v>
      </c>
      <c r="B211" t="s">
        <v>15</v>
      </c>
      <c r="C211" t="s">
        <v>34</v>
      </c>
      <c r="D211" t="s">
        <v>17</v>
      </c>
      <c r="E211" t="s">
        <v>52</v>
      </c>
      <c r="F211" t="s">
        <v>49</v>
      </c>
      <c r="G211">
        <v>1967</v>
      </c>
      <c r="H211">
        <v>13404.2</v>
      </c>
      <c r="I211">
        <v>11623.7</v>
      </c>
      <c r="J211">
        <v>1790.5</v>
      </c>
      <c r="K211">
        <v>13400.7</v>
      </c>
      <c r="L211">
        <v>99.973888779999996</v>
      </c>
      <c r="M211">
        <v>3.5</v>
      </c>
      <c r="N211">
        <v>2.6111218870000001E-2</v>
      </c>
    </row>
    <row r="212" spans="1:14" x14ac:dyDescent="0.35">
      <c r="A212" t="s">
        <v>280</v>
      </c>
      <c r="B212" t="s">
        <v>15</v>
      </c>
      <c r="C212" t="s">
        <v>22</v>
      </c>
      <c r="D212" t="s">
        <v>17</v>
      </c>
      <c r="E212" t="s">
        <v>18</v>
      </c>
      <c r="F212" t="s">
        <v>19</v>
      </c>
      <c r="G212">
        <v>2006</v>
      </c>
      <c r="H212">
        <v>13398.3</v>
      </c>
      <c r="I212">
        <v>13409.8</v>
      </c>
      <c r="J212">
        <v>0</v>
      </c>
      <c r="K212">
        <v>4665.5</v>
      </c>
      <c r="L212">
        <v>34.82158184</v>
      </c>
      <c r="M212">
        <v>8732.7999999999993</v>
      </c>
      <c r="N212">
        <v>65.178418160000007</v>
      </c>
    </row>
    <row r="213" spans="1:14" x14ac:dyDescent="0.35">
      <c r="A213" t="s">
        <v>281</v>
      </c>
      <c r="B213" t="s">
        <v>15</v>
      </c>
      <c r="C213" t="s">
        <v>22</v>
      </c>
      <c r="D213" t="s">
        <v>25</v>
      </c>
      <c r="E213" t="s">
        <v>26</v>
      </c>
      <c r="F213" t="s">
        <v>49</v>
      </c>
      <c r="G213">
        <v>1998</v>
      </c>
      <c r="H213">
        <v>13323.2</v>
      </c>
      <c r="I213">
        <v>8971.1</v>
      </c>
      <c r="J213">
        <v>4360.5</v>
      </c>
      <c r="K213">
        <v>5734.4</v>
      </c>
      <c r="L213">
        <v>43.040710939999997</v>
      </c>
      <c r="M213">
        <v>7588.8</v>
      </c>
      <c r="N213">
        <v>56.959289060000003</v>
      </c>
    </row>
    <row r="214" spans="1:14" x14ac:dyDescent="0.35">
      <c r="A214" t="s">
        <v>282</v>
      </c>
      <c r="B214" t="s">
        <v>15</v>
      </c>
      <c r="C214" t="s">
        <v>22</v>
      </c>
      <c r="D214" t="s">
        <v>17</v>
      </c>
      <c r="E214" t="s">
        <v>18</v>
      </c>
      <c r="F214" t="s">
        <v>19</v>
      </c>
      <c r="G214">
        <v>1984</v>
      </c>
      <c r="H214">
        <v>13320.3</v>
      </c>
      <c r="I214">
        <v>8568.7000000000007</v>
      </c>
      <c r="J214">
        <v>4756.2</v>
      </c>
      <c r="K214">
        <v>464.4</v>
      </c>
      <c r="L214">
        <v>3.4864079640000001</v>
      </c>
      <c r="M214">
        <v>12855.9</v>
      </c>
      <c r="N214">
        <v>96.513592040000006</v>
      </c>
    </row>
    <row r="215" spans="1:14" x14ac:dyDescent="0.35">
      <c r="A215" t="s">
        <v>283</v>
      </c>
      <c r="B215" t="s">
        <v>15</v>
      </c>
      <c r="C215" t="s">
        <v>22</v>
      </c>
      <c r="D215" t="s">
        <v>25</v>
      </c>
      <c r="E215" t="s">
        <v>26</v>
      </c>
      <c r="F215" t="s">
        <v>19</v>
      </c>
      <c r="G215">
        <v>2017</v>
      </c>
      <c r="H215">
        <v>13291</v>
      </c>
      <c r="I215">
        <v>10113.700000000001</v>
      </c>
      <c r="J215">
        <v>3183.3</v>
      </c>
      <c r="K215">
        <v>4068.1</v>
      </c>
      <c r="L215">
        <v>30.60793018</v>
      </c>
      <c r="M215">
        <v>9222.9</v>
      </c>
      <c r="N215">
        <v>69.392069820000003</v>
      </c>
    </row>
    <row r="216" spans="1:14" x14ac:dyDescent="0.35">
      <c r="A216" t="s">
        <v>284</v>
      </c>
      <c r="B216" t="s">
        <v>79</v>
      </c>
      <c r="C216" t="s">
        <v>22</v>
      </c>
      <c r="D216" t="s">
        <v>17</v>
      </c>
      <c r="E216" t="s">
        <v>58</v>
      </c>
      <c r="F216" t="s">
        <v>49</v>
      </c>
      <c r="G216">
        <v>2008</v>
      </c>
      <c r="H216">
        <v>13287</v>
      </c>
      <c r="I216">
        <v>13294.9</v>
      </c>
      <c r="J216">
        <v>0</v>
      </c>
      <c r="K216">
        <v>13287</v>
      </c>
      <c r="L216">
        <v>100</v>
      </c>
      <c r="M216">
        <v>0</v>
      </c>
      <c r="N216">
        <v>0</v>
      </c>
    </row>
    <row r="217" spans="1:14" x14ac:dyDescent="0.35">
      <c r="A217" t="s">
        <v>285</v>
      </c>
      <c r="B217" t="s">
        <v>15</v>
      </c>
      <c r="C217" t="s">
        <v>22</v>
      </c>
      <c r="D217" t="s">
        <v>17</v>
      </c>
      <c r="E217" t="s">
        <v>18</v>
      </c>
      <c r="F217" t="s">
        <v>19</v>
      </c>
      <c r="G217">
        <v>2008</v>
      </c>
      <c r="H217">
        <v>13281.8</v>
      </c>
      <c r="I217">
        <v>12309.2</v>
      </c>
      <c r="J217">
        <v>978.1</v>
      </c>
      <c r="K217">
        <v>11171.3</v>
      </c>
      <c r="L217">
        <v>84.109834509999999</v>
      </c>
      <c r="M217">
        <v>2110.5</v>
      </c>
      <c r="N217">
        <v>15.890165489999999</v>
      </c>
    </row>
    <row r="218" spans="1:14" x14ac:dyDescent="0.35">
      <c r="A218" t="s">
        <v>286</v>
      </c>
      <c r="B218" t="s">
        <v>15</v>
      </c>
      <c r="C218" t="s">
        <v>22</v>
      </c>
      <c r="D218" t="s">
        <v>25</v>
      </c>
      <c r="E218" t="s">
        <v>26</v>
      </c>
      <c r="F218" t="s">
        <v>19</v>
      </c>
      <c r="G218">
        <v>2000</v>
      </c>
      <c r="H218">
        <v>13273.4</v>
      </c>
      <c r="I218">
        <v>4702.2</v>
      </c>
      <c r="J218">
        <v>8580.5</v>
      </c>
      <c r="K218">
        <v>575.4</v>
      </c>
      <c r="L218">
        <v>4.3349857610000004</v>
      </c>
      <c r="M218">
        <v>12698</v>
      </c>
      <c r="N218">
        <v>95.665014240000005</v>
      </c>
    </row>
    <row r="219" spans="1:14" x14ac:dyDescent="0.35">
      <c r="A219" t="s">
        <v>287</v>
      </c>
      <c r="B219" t="s">
        <v>79</v>
      </c>
      <c r="C219" t="s">
        <v>22</v>
      </c>
      <c r="D219" t="s">
        <v>17</v>
      </c>
      <c r="E219" t="s">
        <v>61</v>
      </c>
      <c r="F219" t="s">
        <v>49</v>
      </c>
      <c r="G219">
        <v>2009</v>
      </c>
      <c r="H219">
        <v>13220.4</v>
      </c>
      <c r="I219">
        <v>11619.7</v>
      </c>
      <c r="J219">
        <v>1604</v>
      </c>
      <c r="K219">
        <v>45.4</v>
      </c>
      <c r="L219">
        <v>0.34340867139999998</v>
      </c>
      <c r="M219">
        <v>13175</v>
      </c>
      <c r="N219">
        <v>99.656591329999998</v>
      </c>
    </row>
    <row r="220" spans="1:14" x14ac:dyDescent="0.35">
      <c r="A220" t="s">
        <v>288</v>
      </c>
      <c r="B220" t="s">
        <v>15</v>
      </c>
      <c r="C220" t="s">
        <v>22</v>
      </c>
      <c r="D220" t="s">
        <v>17</v>
      </c>
      <c r="E220" t="s">
        <v>23</v>
      </c>
      <c r="F220" t="s">
        <v>19</v>
      </c>
      <c r="G220">
        <v>1999</v>
      </c>
      <c r="H220">
        <v>13208.3</v>
      </c>
      <c r="I220">
        <v>12134.4</v>
      </c>
      <c r="J220">
        <v>1076.8</v>
      </c>
      <c r="K220">
        <v>11821.4</v>
      </c>
      <c r="L220">
        <v>89.499784230000003</v>
      </c>
      <c r="M220">
        <v>1386.9</v>
      </c>
      <c r="N220">
        <v>10.500215770000001</v>
      </c>
    </row>
    <row r="221" spans="1:14" x14ac:dyDescent="0.35">
      <c r="A221" t="s">
        <v>289</v>
      </c>
      <c r="B221" t="s">
        <v>15</v>
      </c>
      <c r="C221" t="s">
        <v>22</v>
      </c>
      <c r="D221" t="s">
        <v>17</v>
      </c>
      <c r="E221" t="s">
        <v>28</v>
      </c>
      <c r="F221" t="s">
        <v>19</v>
      </c>
      <c r="G221">
        <v>2010</v>
      </c>
      <c r="H221">
        <v>13065.7</v>
      </c>
      <c r="I221">
        <v>7612.4</v>
      </c>
      <c r="J221">
        <v>5460.1</v>
      </c>
      <c r="K221">
        <v>5541.7</v>
      </c>
      <c r="L221">
        <v>42.414107170000001</v>
      </c>
      <c r="M221">
        <v>7524</v>
      </c>
      <c r="N221">
        <v>57.585892829999999</v>
      </c>
    </row>
    <row r="222" spans="1:14" x14ac:dyDescent="0.35">
      <c r="A222" t="s">
        <v>290</v>
      </c>
      <c r="B222" t="s">
        <v>15</v>
      </c>
      <c r="C222" t="s">
        <v>22</v>
      </c>
      <c r="D222" t="s">
        <v>17</v>
      </c>
      <c r="E222" t="s">
        <v>18</v>
      </c>
      <c r="F222" t="s">
        <v>19</v>
      </c>
      <c r="G222">
        <v>2018</v>
      </c>
      <c r="H222">
        <v>13039.8</v>
      </c>
      <c r="I222">
        <v>12982.3</v>
      </c>
      <c r="J222">
        <v>59.7</v>
      </c>
      <c r="K222">
        <v>7413.1</v>
      </c>
      <c r="L222">
        <v>56.849798309999997</v>
      </c>
      <c r="M222">
        <v>5626.7</v>
      </c>
      <c r="N222">
        <v>43.150201690000003</v>
      </c>
    </row>
    <row r="223" spans="1:14" x14ac:dyDescent="0.35">
      <c r="A223" t="s">
        <v>291</v>
      </c>
      <c r="B223" t="s">
        <v>15</v>
      </c>
      <c r="C223" t="s">
        <v>22</v>
      </c>
      <c r="D223" t="s">
        <v>17</v>
      </c>
      <c r="E223" t="s">
        <v>292</v>
      </c>
      <c r="F223" t="s">
        <v>49</v>
      </c>
      <c r="G223">
        <v>1998</v>
      </c>
      <c r="H223">
        <v>13009.4</v>
      </c>
      <c r="I223">
        <v>13017.1</v>
      </c>
      <c r="J223">
        <v>0</v>
      </c>
      <c r="K223">
        <v>12963.5</v>
      </c>
      <c r="L223">
        <v>99.647178190000005</v>
      </c>
      <c r="M223">
        <v>45.9</v>
      </c>
      <c r="N223">
        <v>0.3528218058</v>
      </c>
    </row>
    <row r="224" spans="1:14" x14ac:dyDescent="0.35">
      <c r="A224" t="s">
        <v>293</v>
      </c>
      <c r="B224" t="s">
        <v>15</v>
      </c>
      <c r="C224" t="s">
        <v>22</v>
      </c>
      <c r="D224" t="s">
        <v>17</v>
      </c>
      <c r="E224" t="s">
        <v>18</v>
      </c>
      <c r="F224" t="s">
        <v>19</v>
      </c>
      <c r="G224">
        <v>2009</v>
      </c>
      <c r="H224">
        <v>12994.4</v>
      </c>
      <c r="I224">
        <v>12999.7</v>
      </c>
      <c r="J224">
        <v>0</v>
      </c>
      <c r="K224">
        <v>5593.4</v>
      </c>
      <c r="L224">
        <v>43.044696180000003</v>
      </c>
      <c r="M224">
        <v>7401</v>
      </c>
      <c r="N224">
        <v>56.955303819999997</v>
      </c>
    </row>
    <row r="225" spans="1:14" x14ac:dyDescent="0.35">
      <c r="A225" t="s">
        <v>294</v>
      </c>
      <c r="B225" t="s">
        <v>79</v>
      </c>
      <c r="C225" t="s">
        <v>148</v>
      </c>
      <c r="D225" t="s">
        <v>17</v>
      </c>
      <c r="E225" t="s">
        <v>23</v>
      </c>
      <c r="F225" t="s">
        <v>49</v>
      </c>
      <c r="G225">
        <v>1972</v>
      </c>
      <c r="H225">
        <v>12992.2</v>
      </c>
      <c r="I225">
        <v>10479.5</v>
      </c>
      <c r="J225">
        <v>2516.3000000000002</v>
      </c>
      <c r="K225">
        <v>12992.2</v>
      </c>
      <c r="L225">
        <v>100</v>
      </c>
      <c r="M225">
        <v>0</v>
      </c>
      <c r="N225">
        <v>0</v>
      </c>
    </row>
    <row r="226" spans="1:14" x14ac:dyDescent="0.35">
      <c r="A226" t="s">
        <v>295</v>
      </c>
      <c r="B226" t="s">
        <v>21</v>
      </c>
      <c r="C226" t="s">
        <v>22</v>
      </c>
      <c r="D226" t="s">
        <v>25</v>
      </c>
      <c r="E226" t="s">
        <v>83</v>
      </c>
      <c r="F226" t="s">
        <v>19</v>
      </c>
      <c r="G226">
        <v>2013</v>
      </c>
      <c r="H226">
        <v>12985.2</v>
      </c>
      <c r="I226">
        <v>8772.2000000000007</v>
      </c>
      <c r="J226">
        <v>4216.8</v>
      </c>
      <c r="K226">
        <v>2160.8000000000002</v>
      </c>
      <c r="L226">
        <v>16.640483010000001</v>
      </c>
      <c r="M226">
        <v>10824.4</v>
      </c>
      <c r="N226">
        <v>83.359516990000003</v>
      </c>
    </row>
    <row r="227" spans="1:14" x14ac:dyDescent="0.35">
      <c r="A227" t="s">
        <v>296</v>
      </c>
      <c r="B227" t="s">
        <v>15</v>
      </c>
      <c r="C227" t="s">
        <v>22</v>
      </c>
      <c r="D227" t="s">
        <v>25</v>
      </c>
      <c r="E227" t="s">
        <v>26</v>
      </c>
      <c r="F227" t="s">
        <v>19</v>
      </c>
      <c r="G227">
        <v>2003</v>
      </c>
      <c r="H227">
        <v>12929.7</v>
      </c>
      <c r="I227">
        <v>5938.5</v>
      </c>
      <c r="J227">
        <v>6997.8</v>
      </c>
      <c r="K227">
        <v>1490.1</v>
      </c>
      <c r="L227">
        <v>11.524629340000001</v>
      </c>
      <c r="M227">
        <v>11439.6</v>
      </c>
      <c r="N227">
        <v>88.475370659999996</v>
      </c>
    </row>
    <row r="228" spans="1:14" x14ac:dyDescent="0.35">
      <c r="A228" t="s">
        <v>297</v>
      </c>
      <c r="B228" t="s">
        <v>15</v>
      </c>
      <c r="C228" t="s">
        <v>243</v>
      </c>
      <c r="D228" t="s">
        <v>25</v>
      </c>
      <c r="E228" t="s">
        <v>83</v>
      </c>
      <c r="F228" t="s">
        <v>19</v>
      </c>
      <c r="G228">
        <v>1995</v>
      </c>
      <c r="H228">
        <v>12857.9</v>
      </c>
      <c r="I228">
        <v>11010.3</v>
      </c>
      <c r="J228">
        <v>1853</v>
      </c>
      <c r="K228">
        <v>3301</v>
      </c>
      <c r="L228">
        <v>25.672932589999998</v>
      </c>
      <c r="M228">
        <v>9556.9</v>
      </c>
      <c r="N228">
        <v>74.327067409999998</v>
      </c>
    </row>
    <row r="229" spans="1:14" x14ac:dyDescent="0.35">
      <c r="A229" t="s">
        <v>298</v>
      </c>
      <c r="B229" t="s">
        <v>15</v>
      </c>
      <c r="C229" t="s">
        <v>22</v>
      </c>
      <c r="D229" t="s">
        <v>17</v>
      </c>
      <c r="E229" t="s">
        <v>18</v>
      </c>
      <c r="F229" t="s">
        <v>19</v>
      </c>
      <c r="G229">
        <v>2015</v>
      </c>
      <c r="H229">
        <v>12823.8</v>
      </c>
      <c r="I229">
        <v>5535</v>
      </c>
      <c r="J229">
        <v>7288.8</v>
      </c>
      <c r="K229">
        <v>2109.1999999999998</v>
      </c>
      <c r="L229">
        <v>16.447542850000001</v>
      </c>
      <c r="M229">
        <v>10714.6</v>
      </c>
      <c r="N229">
        <v>83.552457149999995</v>
      </c>
    </row>
    <row r="230" spans="1:14" x14ac:dyDescent="0.35">
      <c r="A230" t="s">
        <v>299</v>
      </c>
      <c r="B230" t="s">
        <v>15</v>
      </c>
      <c r="C230" t="s">
        <v>90</v>
      </c>
      <c r="D230" t="s">
        <v>25</v>
      </c>
      <c r="E230" t="s">
        <v>91</v>
      </c>
      <c r="F230" t="s">
        <v>19</v>
      </c>
      <c r="G230">
        <v>2018</v>
      </c>
      <c r="H230">
        <v>12810.9</v>
      </c>
      <c r="I230">
        <v>6582.9</v>
      </c>
      <c r="J230">
        <v>6236.2</v>
      </c>
      <c r="K230">
        <v>1707.5</v>
      </c>
      <c r="L230">
        <v>13.328493699999999</v>
      </c>
      <c r="M230">
        <v>11103.4</v>
      </c>
      <c r="N230">
        <v>86.671506300000004</v>
      </c>
    </row>
    <row r="231" spans="1:14" x14ac:dyDescent="0.35">
      <c r="A231" t="s">
        <v>300</v>
      </c>
      <c r="B231" t="s">
        <v>15</v>
      </c>
      <c r="C231" t="s">
        <v>22</v>
      </c>
      <c r="D231" t="s">
        <v>25</v>
      </c>
      <c r="E231" t="s">
        <v>26</v>
      </c>
      <c r="F231" t="s">
        <v>49</v>
      </c>
      <c r="G231">
        <v>2000</v>
      </c>
      <c r="H231">
        <v>12799.8</v>
      </c>
      <c r="I231">
        <v>5018.3999999999996</v>
      </c>
      <c r="J231">
        <v>7786.4</v>
      </c>
      <c r="K231">
        <v>1713.9</v>
      </c>
      <c r="L231">
        <v>13.390052969999999</v>
      </c>
      <c r="M231">
        <v>11085.9</v>
      </c>
      <c r="N231">
        <v>86.609947030000001</v>
      </c>
    </row>
    <row r="232" spans="1:14" x14ac:dyDescent="0.35">
      <c r="A232" t="s">
        <v>301</v>
      </c>
      <c r="B232" t="s">
        <v>15</v>
      </c>
      <c r="C232" t="s">
        <v>95</v>
      </c>
      <c r="D232" t="s">
        <v>17</v>
      </c>
      <c r="E232" t="s">
        <v>52</v>
      </c>
      <c r="F232" t="s">
        <v>49</v>
      </c>
      <c r="G232">
        <v>2011</v>
      </c>
      <c r="H232">
        <v>12788.3</v>
      </c>
      <c r="I232">
        <v>12025.6</v>
      </c>
      <c r="J232">
        <v>766.3</v>
      </c>
      <c r="K232">
        <v>11526.4</v>
      </c>
      <c r="L232">
        <v>90.132386629999999</v>
      </c>
      <c r="M232">
        <v>1261.9000000000001</v>
      </c>
      <c r="N232">
        <v>9.8676133650000004</v>
      </c>
    </row>
    <row r="233" spans="1:14" x14ac:dyDescent="0.35">
      <c r="A233" t="s">
        <v>302</v>
      </c>
      <c r="B233" t="s">
        <v>15</v>
      </c>
      <c r="C233" t="s">
        <v>22</v>
      </c>
      <c r="D233" t="s">
        <v>17</v>
      </c>
      <c r="E233" t="s">
        <v>18</v>
      </c>
      <c r="F233" t="s">
        <v>19</v>
      </c>
      <c r="G233">
        <v>2015</v>
      </c>
      <c r="H233">
        <v>12751</v>
      </c>
      <c r="I233">
        <v>8481.6</v>
      </c>
      <c r="J233">
        <v>4272.5</v>
      </c>
      <c r="K233">
        <v>5659.8</v>
      </c>
      <c r="L233">
        <v>44.387106889999998</v>
      </c>
      <c r="M233">
        <v>7091.2</v>
      </c>
      <c r="N233">
        <v>55.612893110000002</v>
      </c>
    </row>
    <row r="234" spans="1:14" x14ac:dyDescent="0.35">
      <c r="A234" t="s">
        <v>303</v>
      </c>
      <c r="B234" t="s">
        <v>21</v>
      </c>
      <c r="C234" t="s">
        <v>46</v>
      </c>
      <c r="D234" t="s">
        <v>47</v>
      </c>
      <c r="E234" t="s">
        <v>48</v>
      </c>
      <c r="F234" t="s">
        <v>49</v>
      </c>
      <c r="G234">
        <v>2015</v>
      </c>
      <c r="H234">
        <v>12716.2</v>
      </c>
      <c r="I234">
        <v>2648.7</v>
      </c>
      <c r="J234">
        <v>10073.4</v>
      </c>
      <c r="K234">
        <v>12242.6</v>
      </c>
      <c r="L234">
        <v>96.275616929999998</v>
      </c>
      <c r="M234">
        <v>473.6</v>
      </c>
      <c r="N234">
        <v>3.72438307</v>
      </c>
    </row>
    <row r="235" spans="1:14" x14ac:dyDescent="0.35">
      <c r="A235" t="s">
        <v>304</v>
      </c>
      <c r="B235" t="s">
        <v>15</v>
      </c>
      <c r="C235" t="s">
        <v>22</v>
      </c>
      <c r="D235" t="s">
        <v>25</v>
      </c>
      <c r="E235" t="s">
        <v>26</v>
      </c>
      <c r="F235" t="s">
        <v>19</v>
      </c>
      <c r="G235">
        <v>2004</v>
      </c>
      <c r="H235">
        <v>12713.2</v>
      </c>
      <c r="I235">
        <v>12596.1</v>
      </c>
      <c r="J235">
        <v>124.8</v>
      </c>
      <c r="K235">
        <v>1284.7</v>
      </c>
      <c r="L235">
        <v>10.10524494</v>
      </c>
      <c r="M235">
        <v>11428.5</v>
      </c>
      <c r="N235">
        <v>89.894755059999994</v>
      </c>
    </row>
    <row r="236" spans="1:14" x14ac:dyDescent="0.35">
      <c r="A236" t="s">
        <v>305</v>
      </c>
      <c r="B236" t="s">
        <v>21</v>
      </c>
      <c r="C236" t="s">
        <v>22</v>
      </c>
      <c r="D236" t="s">
        <v>17</v>
      </c>
      <c r="E236" t="s">
        <v>23</v>
      </c>
      <c r="F236" t="s">
        <v>19</v>
      </c>
      <c r="G236">
        <v>2008</v>
      </c>
      <c r="H236">
        <v>12700.7</v>
      </c>
      <c r="I236">
        <v>8281.2000000000007</v>
      </c>
      <c r="J236">
        <v>4423.1000000000004</v>
      </c>
      <c r="K236">
        <v>7763.9</v>
      </c>
      <c r="L236">
        <v>61.129701509999997</v>
      </c>
      <c r="M236">
        <v>4936.8</v>
      </c>
      <c r="N236">
        <v>38.870298490000003</v>
      </c>
    </row>
    <row r="237" spans="1:14" x14ac:dyDescent="0.35">
      <c r="A237" t="s">
        <v>306</v>
      </c>
      <c r="B237" t="s">
        <v>15</v>
      </c>
      <c r="C237" t="s">
        <v>34</v>
      </c>
      <c r="D237" t="s">
        <v>17</v>
      </c>
      <c r="E237" t="s">
        <v>23</v>
      </c>
      <c r="F237" t="s">
        <v>19</v>
      </c>
      <c r="G237">
        <v>2010</v>
      </c>
      <c r="H237">
        <v>12650.8</v>
      </c>
      <c r="I237">
        <v>11398.2</v>
      </c>
      <c r="J237">
        <v>1255.5</v>
      </c>
      <c r="K237">
        <v>5777.3</v>
      </c>
      <c r="L237">
        <v>45.667467670000001</v>
      </c>
      <c r="M237">
        <v>6873.5</v>
      </c>
      <c r="N237">
        <v>54.332532329999999</v>
      </c>
    </row>
    <row r="238" spans="1:14" x14ac:dyDescent="0.35">
      <c r="A238" t="s">
        <v>307</v>
      </c>
      <c r="B238" t="s">
        <v>15</v>
      </c>
      <c r="C238" t="s">
        <v>16</v>
      </c>
      <c r="D238" t="s">
        <v>17</v>
      </c>
      <c r="E238" t="s">
        <v>23</v>
      </c>
      <c r="F238" t="s">
        <v>19</v>
      </c>
      <c r="G238">
        <v>2001</v>
      </c>
      <c r="H238">
        <v>12647.5</v>
      </c>
      <c r="I238">
        <v>11934</v>
      </c>
      <c r="J238">
        <v>715.4</v>
      </c>
      <c r="K238">
        <v>10362.700000000001</v>
      </c>
      <c r="L238">
        <v>81.934769720000006</v>
      </c>
      <c r="M238">
        <v>2284.8000000000002</v>
      </c>
      <c r="N238">
        <v>18.065230280000002</v>
      </c>
    </row>
    <row r="239" spans="1:14" x14ac:dyDescent="0.35">
      <c r="A239" t="s">
        <v>308</v>
      </c>
      <c r="B239" t="s">
        <v>15</v>
      </c>
      <c r="C239" t="s">
        <v>22</v>
      </c>
      <c r="D239" t="s">
        <v>17</v>
      </c>
      <c r="E239" t="s">
        <v>18</v>
      </c>
      <c r="F239" t="s">
        <v>19</v>
      </c>
      <c r="G239">
        <v>2000</v>
      </c>
      <c r="H239">
        <v>12593.2</v>
      </c>
      <c r="I239">
        <v>6266</v>
      </c>
      <c r="J239">
        <v>6330.7</v>
      </c>
      <c r="K239">
        <v>351.5</v>
      </c>
      <c r="L239">
        <v>2.791188896</v>
      </c>
      <c r="M239">
        <v>12241.7</v>
      </c>
      <c r="N239">
        <v>97.208811100000005</v>
      </c>
    </row>
    <row r="240" spans="1:14" x14ac:dyDescent="0.35">
      <c r="A240" t="s">
        <v>309</v>
      </c>
      <c r="B240" t="s">
        <v>21</v>
      </c>
      <c r="C240" t="s">
        <v>34</v>
      </c>
      <c r="D240" t="s">
        <v>17</v>
      </c>
      <c r="E240" t="s">
        <v>23</v>
      </c>
      <c r="F240" t="s">
        <v>19</v>
      </c>
      <c r="G240">
        <v>2013</v>
      </c>
      <c r="H240">
        <v>12593</v>
      </c>
      <c r="I240">
        <v>12542.7</v>
      </c>
      <c r="J240">
        <v>29.5</v>
      </c>
      <c r="K240">
        <v>3706.6</v>
      </c>
      <c r="L240">
        <v>29.433812440000001</v>
      </c>
      <c r="M240">
        <v>8886.4</v>
      </c>
      <c r="N240">
        <v>70.566187560000003</v>
      </c>
    </row>
    <row r="241" spans="1:14" x14ac:dyDescent="0.35">
      <c r="A241" t="s">
        <v>310</v>
      </c>
      <c r="B241" t="s">
        <v>15</v>
      </c>
      <c r="C241" t="s">
        <v>34</v>
      </c>
      <c r="D241" t="s">
        <v>17</v>
      </c>
      <c r="E241" t="s">
        <v>52</v>
      </c>
      <c r="F241" t="s">
        <v>49</v>
      </c>
      <c r="G241">
        <v>1964</v>
      </c>
      <c r="H241">
        <v>12566.2</v>
      </c>
      <c r="I241">
        <v>4905.7</v>
      </c>
      <c r="J241">
        <v>7658.9</v>
      </c>
      <c r="K241">
        <v>12335.7</v>
      </c>
      <c r="L241">
        <v>98.165714379999997</v>
      </c>
      <c r="M241">
        <v>230.5</v>
      </c>
      <c r="N241">
        <v>1.834285623</v>
      </c>
    </row>
    <row r="242" spans="1:14" x14ac:dyDescent="0.35">
      <c r="A242" t="s">
        <v>311</v>
      </c>
      <c r="B242" t="s">
        <v>15</v>
      </c>
      <c r="C242" t="s">
        <v>22</v>
      </c>
      <c r="D242" t="s">
        <v>17</v>
      </c>
      <c r="E242" t="s">
        <v>23</v>
      </c>
      <c r="F242" t="s">
        <v>19</v>
      </c>
      <c r="G242">
        <v>1939</v>
      </c>
      <c r="H242">
        <v>12421.7</v>
      </c>
      <c r="I242">
        <v>11999.7</v>
      </c>
      <c r="J242">
        <v>421.9</v>
      </c>
      <c r="K242">
        <v>9162.6</v>
      </c>
      <c r="L242">
        <v>73.762850499999999</v>
      </c>
      <c r="M242">
        <v>3259.1</v>
      </c>
      <c r="N242">
        <v>26.237149500000001</v>
      </c>
    </row>
    <row r="243" spans="1:14" x14ac:dyDescent="0.35">
      <c r="A243" t="s">
        <v>312</v>
      </c>
      <c r="B243" t="s">
        <v>15</v>
      </c>
      <c r="C243" t="s">
        <v>129</v>
      </c>
      <c r="D243" t="s">
        <v>130</v>
      </c>
      <c r="E243" t="s">
        <v>61</v>
      </c>
      <c r="F243" t="s">
        <v>19</v>
      </c>
      <c r="G243">
        <v>2014</v>
      </c>
      <c r="H243">
        <v>12403.3</v>
      </c>
      <c r="I243">
        <v>7261.2</v>
      </c>
      <c r="J243">
        <v>5145.8</v>
      </c>
      <c r="K243">
        <v>376.4</v>
      </c>
      <c r="L243">
        <v>3.034676256</v>
      </c>
      <c r="M243">
        <v>12026.9</v>
      </c>
      <c r="N243">
        <v>96.965323740000002</v>
      </c>
    </row>
    <row r="244" spans="1:14" x14ac:dyDescent="0.35">
      <c r="A244" t="s">
        <v>313</v>
      </c>
      <c r="B244" t="s">
        <v>15</v>
      </c>
      <c r="C244" t="s">
        <v>22</v>
      </c>
      <c r="D244" t="s">
        <v>25</v>
      </c>
      <c r="E244" t="s">
        <v>26</v>
      </c>
      <c r="F244" t="s">
        <v>19</v>
      </c>
      <c r="G244">
        <v>2015</v>
      </c>
      <c r="H244">
        <v>12394.6</v>
      </c>
      <c r="I244">
        <v>4419.3999999999996</v>
      </c>
      <c r="J244">
        <v>7981.5</v>
      </c>
      <c r="K244">
        <v>1528.1</v>
      </c>
      <c r="L244">
        <v>12.328756070000001</v>
      </c>
      <c r="M244">
        <v>10866.5</v>
      </c>
      <c r="N244">
        <v>87.671243930000003</v>
      </c>
    </row>
    <row r="245" spans="1:14" x14ac:dyDescent="0.35">
      <c r="A245" t="s">
        <v>314</v>
      </c>
      <c r="B245" t="s">
        <v>15</v>
      </c>
      <c r="C245" t="s">
        <v>167</v>
      </c>
      <c r="D245" t="s">
        <v>168</v>
      </c>
      <c r="E245" t="s">
        <v>169</v>
      </c>
      <c r="F245" t="s">
        <v>19</v>
      </c>
      <c r="G245">
        <v>2009</v>
      </c>
      <c r="H245">
        <v>12324.9</v>
      </c>
      <c r="I245">
        <v>10393.6</v>
      </c>
      <c r="J245">
        <v>1924.7</v>
      </c>
      <c r="K245">
        <v>8841.9</v>
      </c>
      <c r="L245">
        <v>71.740135820000006</v>
      </c>
      <c r="M245">
        <v>3483</v>
      </c>
      <c r="N245">
        <v>28.259864180000001</v>
      </c>
    </row>
    <row r="246" spans="1:14" x14ac:dyDescent="0.35">
      <c r="A246" t="s">
        <v>315</v>
      </c>
      <c r="B246" t="s">
        <v>15</v>
      </c>
      <c r="C246" t="s">
        <v>22</v>
      </c>
      <c r="D246" t="s">
        <v>25</v>
      </c>
      <c r="E246" t="s">
        <v>18</v>
      </c>
      <c r="F246" t="s">
        <v>19</v>
      </c>
      <c r="G246">
        <v>2017</v>
      </c>
      <c r="H246">
        <v>12209.5</v>
      </c>
      <c r="I246">
        <v>8937.9</v>
      </c>
      <c r="J246">
        <v>3281.7</v>
      </c>
      <c r="K246">
        <v>3226.5</v>
      </c>
      <c r="L246">
        <v>26.426143580000002</v>
      </c>
      <c r="M246">
        <v>8983</v>
      </c>
      <c r="N246">
        <v>73.573856419999998</v>
      </c>
    </row>
    <row r="247" spans="1:14" x14ac:dyDescent="0.35">
      <c r="A247" t="s">
        <v>316</v>
      </c>
      <c r="B247" t="s">
        <v>15</v>
      </c>
      <c r="C247" t="s">
        <v>90</v>
      </c>
      <c r="D247" t="s">
        <v>25</v>
      </c>
      <c r="E247" t="s">
        <v>91</v>
      </c>
      <c r="F247" t="s">
        <v>49</v>
      </c>
      <c r="G247">
        <v>2014</v>
      </c>
      <c r="H247">
        <v>12151.3</v>
      </c>
      <c r="I247">
        <v>8589.7999999999993</v>
      </c>
      <c r="J247">
        <v>3569.6</v>
      </c>
      <c r="K247">
        <v>2705.2</v>
      </c>
      <c r="L247">
        <v>22.26263857</v>
      </c>
      <c r="M247">
        <v>9446.1</v>
      </c>
      <c r="N247">
        <v>77.737361430000007</v>
      </c>
    </row>
    <row r="248" spans="1:14" x14ac:dyDescent="0.35">
      <c r="A248" t="s">
        <v>317</v>
      </c>
      <c r="B248" t="s">
        <v>15</v>
      </c>
      <c r="C248" t="s">
        <v>72</v>
      </c>
      <c r="D248" t="s">
        <v>73</v>
      </c>
      <c r="E248" t="s">
        <v>74</v>
      </c>
      <c r="F248" t="s">
        <v>19</v>
      </c>
      <c r="G248">
        <v>2008</v>
      </c>
      <c r="H248">
        <v>12136.7</v>
      </c>
      <c r="I248">
        <v>8.4</v>
      </c>
      <c r="J248">
        <v>12135.9</v>
      </c>
      <c r="K248">
        <v>0</v>
      </c>
      <c r="L248">
        <v>0</v>
      </c>
      <c r="M248">
        <v>12136.7</v>
      </c>
      <c r="N248">
        <v>100</v>
      </c>
    </row>
    <row r="249" spans="1:14" x14ac:dyDescent="0.35">
      <c r="A249" t="s">
        <v>318</v>
      </c>
      <c r="B249" t="s">
        <v>21</v>
      </c>
      <c r="C249" t="s">
        <v>22</v>
      </c>
      <c r="D249" t="s">
        <v>17</v>
      </c>
      <c r="E249" t="s">
        <v>28</v>
      </c>
      <c r="F249" t="s">
        <v>19</v>
      </c>
      <c r="G249">
        <v>2001</v>
      </c>
      <c r="H249">
        <v>12099.6</v>
      </c>
      <c r="I249">
        <v>8350.5</v>
      </c>
      <c r="J249">
        <v>3754.7</v>
      </c>
      <c r="K249">
        <v>7341.3</v>
      </c>
      <c r="L249">
        <v>60.673906580000001</v>
      </c>
      <c r="M249">
        <v>4758.3</v>
      </c>
      <c r="N249">
        <v>39.326093419999999</v>
      </c>
    </row>
    <row r="250" spans="1:14" x14ac:dyDescent="0.35">
      <c r="A250" t="s">
        <v>319</v>
      </c>
      <c r="B250" t="s">
        <v>21</v>
      </c>
      <c r="C250" t="s">
        <v>22</v>
      </c>
      <c r="D250" t="s">
        <v>17</v>
      </c>
      <c r="E250" t="s">
        <v>23</v>
      </c>
      <c r="F250" t="s">
        <v>19</v>
      </c>
      <c r="G250">
        <v>2009</v>
      </c>
      <c r="H250">
        <v>12094.7</v>
      </c>
      <c r="I250">
        <v>7821.4</v>
      </c>
      <c r="J250">
        <v>4279.1000000000004</v>
      </c>
      <c r="K250">
        <v>7189.4</v>
      </c>
      <c r="L250">
        <v>59.44256575</v>
      </c>
      <c r="M250">
        <v>4905.3</v>
      </c>
      <c r="N250">
        <v>40.55743425</v>
      </c>
    </row>
    <row r="251" spans="1:14" x14ac:dyDescent="0.35">
      <c r="A251" t="s">
        <v>320</v>
      </c>
      <c r="B251" t="s">
        <v>15</v>
      </c>
      <c r="C251" t="s">
        <v>22</v>
      </c>
      <c r="D251" t="s">
        <v>17</v>
      </c>
      <c r="E251" t="s">
        <v>23</v>
      </c>
      <c r="F251" t="s">
        <v>19</v>
      </c>
      <c r="G251">
        <v>2015</v>
      </c>
      <c r="H251">
        <v>11966.9</v>
      </c>
      <c r="I251">
        <v>10802.2</v>
      </c>
      <c r="J251">
        <v>1167.0999999999999</v>
      </c>
      <c r="K251">
        <v>7423</v>
      </c>
      <c r="L251">
        <v>62.029431180000003</v>
      </c>
      <c r="M251">
        <v>4543.8999999999996</v>
      </c>
      <c r="N251">
        <v>37.970568819999997</v>
      </c>
    </row>
    <row r="252" spans="1:14" x14ac:dyDescent="0.35">
      <c r="A252" t="s">
        <v>321</v>
      </c>
      <c r="B252" t="s">
        <v>21</v>
      </c>
      <c r="C252" t="s">
        <v>22</v>
      </c>
      <c r="D252" t="s">
        <v>17</v>
      </c>
      <c r="E252" t="s">
        <v>23</v>
      </c>
      <c r="F252" t="s">
        <v>19</v>
      </c>
      <c r="G252">
        <v>1982</v>
      </c>
      <c r="H252">
        <v>11879.6</v>
      </c>
      <c r="I252">
        <v>10122.700000000001</v>
      </c>
      <c r="J252">
        <v>1768.2</v>
      </c>
      <c r="K252">
        <v>8527.5</v>
      </c>
      <c r="L252">
        <v>71.782719959999994</v>
      </c>
      <c r="M252">
        <v>3352.1</v>
      </c>
      <c r="N252">
        <v>28.217280039999999</v>
      </c>
    </row>
    <row r="253" spans="1:14" x14ac:dyDescent="0.35">
      <c r="A253" t="s">
        <v>322</v>
      </c>
      <c r="B253" t="s">
        <v>15</v>
      </c>
      <c r="C253" t="s">
        <v>90</v>
      </c>
      <c r="D253" t="s">
        <v>25</v>
      </c>
      <c r="E253" t="s">
        <v>83</v>
      </c>
      <c r="F253" t="s">
        <v>49</v>
      </c>
      <c r="G253">
        <v>2005</v>
      </c>
      <c r="H253">
        <v>11853.7</v>
      </c>
      <c r="I253">
        <v>9900.6</v>
      </c>
      <c r="J253">
        <v>1953.1</v>
      </c>
      <c r="K253">
        <v>5248.7</v>
      </c>
      <c r="L253">
        <v>44.279001489999999</v>
      </c>
      <c r="M253">
        <v>6605</v>
      </c>
      <c r="N253">
        <v>55.720998510000001</v>
      </c>
    </row>
    <row r="254" spans="1:14" x14ac:dyDescent="0.35">
      <c r="A254" t="s">
        <v>323</v>
      </c>
      <c r="B254" t="s">
        <v>15</v>
      </c>
      <c r="C254" t="s">
        <v>22</v>
      </c>
      <c r="D254" t="s">
        <v>17</v>
      </c>
      <c r="E254" t="s">
        <v>28</v>
      </c>
      <c r="F254" t="s">
        <v>19</v>
      </c>
      <c r="G254">
        <v>2004</v>
      </c>
      <c r="H254">
        <v>11821.6</v>
      </c>
      <c r="I254">
        <v>7454.6</v>
      </c>
      <c r="J254">
        <v>4369.1000000000004</v>
      </c>
      <c r="K254">
        <v>5783.2</v>
      </c>
      <c r="L254">
        <v>48.920619879999997</v>
      </c>
      <c r="M254">
        <v>6038.4</v>
      </c>
      <c r="N254">
        <v>51.079380120000003</v>
      </c>
    </row>
    <row r="255" spans="1:14" x14ac:dyDescent="0.35">
      <c r="A255" t="s">
        <v>324</v>
      </c>
      <c r="B255" t="s">
        <v>21</v>
      </c>
      <c r="C255" t="s">
        <v>22</v>
      </c>
      <c r="D255" t="s">
        <v>17</v>
      </c>
      <c r="E255" t="s">
        <v>23</v>
      </c>
      <c r="F255" t="s">
        <v>19</v>
      </c>
      <c r="G255">
        <v>2009</v>
      </c>
      <c r="H255">
        <v>11817.1</v>
      </c>
      <c r="I255">
        <v>9731.6</v>
      </c>
      <c r="J255">
        <v>2088</v>
      </c>
      <c r="K255">
        <v>7684.3</v>
      </c>
      <c r="L255">
        <v>65.026952469999998</v>
      </c>
      <c r="M255">
        <v>4132.8</v>
      </c>
      <c r="N255">
        <v>34.973047530000002</v>
      </c>
    </row>
    <row r="256" spans="1:14" x14ac:dyDescent="0.35">
      <c r="A256" t="s">
        <v>325</v>
      </c>
      <c r="B256" t="s">
        <v>15</v>
      </c>
      <c r="C256" t="s">
        <v>22</v>
      </c>
      <c r="D256" t="s">
        <v>17</v>
      </c>
      <c r="E256" t="s">
        <v>18</v>
      </c>
      <c r="F256" t="s">
        <v>19</v>
      </c>
      <c r="G256">
        <v>2017</v>
      </c>
      <c r="H256">
        <v>11783.3</v>
      </c>
      <c r="I256">
        <v>10687.5</v>
      </c>
      <c r="J256">
        <v>1099.4000000000001</v>
      </c>
      <c r="K256">
        <v>8809.7999999999993</v>
      </c>
      <c r="L256">
        <v>74.765133710000001</v>
      </c>
      <c r="M256">
        <v>2973.5</v>
      </c>
      <c r="N256">
        <v>25.234866289999999</v>
      </c>
    </row>
    <row r="257" spans="1:14" x14ac:dyDescent="0.35">
      <c r="A257" t="s">
        <v>326</v>
      </c>
      <c r="B257" t="s">
        <v>21</v>
      </c>
      <c r="C257" t="s">
        <v>327</v>
      </c>
      <c r="D257" t="s">
        <v>17</v>
      </c>
      <c r="E257" t="s">
        <v>23</v>
      </c>
      <c r="F257" t="s">
        <v>19</v>
      </c>
      <c r="G257">
        <v>2012</v>
      </c>
      <c r="H257">
        <v>11721</v>
      </c>
      <c r="I257">
        <v>11036</v>
      </c>
      <c r="J257">
        <v>689</v>
      </c>
      <c r="K257">
        <v>10605.6</v>
      </c>
      <c r="L257">
        <v>90.483747120000004</v>
      </c>
      <c r="M257">
        <v>1115.4000000000001</v>
      </c>
      <c r="N257">
        <v>9.5162528789999996</v>
      </c>
    </row>
    <row r="258" spans="1:14" x14ac:dyDescent="0.35">
      <c r="A258" t="s">
        <v>328</v>
      </c>
      <c r="B258" t="s">
        <v>15</v>
      </c>
      <c r="C258" t="s">
        <v>167</v>
      </c>
      <c r="D258" t="s">
        <v>168</v>
      </c>
      <c r="E258" t="s">
        <v>18</v>
      </c>
      <c r="F258" t="s">
        <v>19</v>
      </c>
      <c r="G258">
        <v>2019</v>
      </c>
      <c r="H258">
        <v>11715.1</v>
      </c>
      <c r="I258">
        <v>1404.1</v>
      </c>
      <c r="J258">
        <v>10305.200000000001</v>
      </c>
      <c r="K258">
        <v>7.7</v>
      </c>
      <c r="L258">
        <v>6.5727138480000002E-2</v>
      </c>
      <c r="M258">
        <v>11707.4</v>
      </c>
      <c r="N258">
        <v>99.934272859999993</v>
      </c>
    </row>
    <row r="259" spans="1:14" x14ac:dyDescent="0.35">
      <c r="A259" t="s">
        <v>329</v>
      </c>
      <c r="B259" t="s">
        <v>15</v>
      </c>
      <c r="C259" t="s">
        <v>22</v>
      </c>
      <c r="D259" t="s">
        <v>17</v>
      </c>
      <c r="E259" t="s">
        <v>99</v>
      </c>
      <c r="F259" t="s">
        <v>19</v>
      </c>
      <c r="G259">
        <v>2015</v>
      </c>
      <c r="H259">
        <v>11678.7</v>
      </c>
      <c r="I259">
        <v>9802.2000000000007</v>
      </c>
      <c r="J259">
        <v>1883.1</v>
      </c>
      <c r="K259">
        <v>9721.7999999999993</v>
      </c>
      <c r="L259">
        <v>83.243854200000001</v>
      </c>
      <c r="M259">
        <v>1956.9</v>
      </c>
      <c r="N259">
        <v>16.756145799999999</v>
      </c>
    </row>
    <row r="260" spans="1:14" x14ac:dyDescent="0.35">
      <c r="A260" t="s">
        <v>330</v>
      </c>
      <c r="B260" t="s">
        <v>15</v>
      </c>
      <c r="C260" t="s">
        <v>331</v>
      </c>
      <c r="D260" t="s">
        <v>17</v>
      </c>
      <c r="E260" t="s">
        <v>18</v>
      </c>
      <c r="F260" t="s">
        <v>19</v>
      </c>
      <c r="G260">
        <v>2002</v>
      </c>
      <c r="H260">
        <v>11640.6</v>
      </c>
      <c r="I260">
        <v>6067.8</v>
      </c>
      <c r="J260">
        <v>5576.2</v>
      </c>
      <c r="K260">
        <v>325.2</v>
      </c>
      <c r="L260">
        <v>2.7936704290000001</v>
      </c>
      <c r="M260">
        <v>11315.4</v>
      </c>
      <c r="N260">
        <v>97.206329569999994</v>
      </c>
    </row>
    <row r="261" spans="1:14" x14ac:dyDescent="0.35">
      <c r="A261" t="s">
        <v>332</v>
      </c>
      <c r="B261" t="s">
        <v>21</v>
      </c>
      <c r="C261" t="s">
        <v>22</v>
      </c>
      <c r="D261" t="s">
        <v>17</v>
      </c>
      <c r="E261" t="s">
        <v>23</v>
      </c>
      <c r="F261" t="s">
        <v>19</v>
      </c>
      <c r="G261">
        <v>2014</v>
      </c>
      <c r="H261">
        <v>11632.9</v>
      </c>
      <c r="I261">
        <v>11637.4</v>
      </c>
      <c r="J261">
        <v>0</v>
      </c>
      <c r="K261">
        <v>11489.7</v>
      </c>
      <c r="L261">
        <v>98.769008589999999</v>
      </c>
      <c r="M261">
        <v>143.19999999999999</v>
      </c>
      <c r="N261">
        <v>1.2309914120000001</v>
      </c>
    </row>
    <row r="262" spans="1:14" x14ac:dyDescent="0.35">
      <c r="A262" t="s">
        <v>333</v>
      </c>
      <c r="B262" t="s">
        <v>15</v>
      </c>
      <c r="C262" t="s">
        <v>22</v>
      </c>
      <c r="D262" t="s">
        <v>17</v>
      </c>
      <c r="E262" t="s">
        <v>52</v>
      </c>
      <c r="F262" t="s">
        <v>19</v>
      </c>
      <c r="G262">
        <v>1954</v>
      </c>
      <c r="H262">
        <v>11588.8</v>
      </c>
      <c r="I262">
        <v>11545</v>
      </c>
      <c r="J262">
        <v>47.3</v>
      </c>
      <c r="K262">
        <v>10653.5</v>
      </c>
      <c r="L262">
        <v>91.929276540000004</v>
      </c>
      <c r="M262">
        <v>935.3</v>
      </c>
      <c r="N262">
        <v>8.0707234569999997</v>
      </c>
    </row>
    <row r="263" spans="1:14" x14ac:dyDescent="0.35">
      <c r="A263" t="s">
        <v>334</v>
      </c>
      <c r="B263" t="s">
        <v>15</v>
      </c>
      <c r="C263" t="s">
        <v>22</v>
      </c>
      <c r="D263" t="s">
        <v>17</v>
      </c>
      <c r="E263" t="s">
        <v>18</v>
      </c>
      <c r="F263" t="s">
        <v>19</v>
      </c>
      <c r="G263">
        <v>2006</v>
      </c>
      <c r="H263">
        <v>11575.2</v>
      </c>
      <c r="I263">
        <v>3209.4</v>
      </c>
      <c r="J263">
        <v>8365.7999999999993</v>
      </c>
      <c r="K263">
        <v>747.3</v>
      </c>
      <c r="L263">
        <v>6.4560439560000003</v>
      </c>
      <c r="M263">
        <v>10827.9</v>
      </c>
      <c r="N263">
        <v>93.543956039999998</v>
      </c>
    </row>
    <row r="264" spans="1:14" x14ac:dyDescent="0.35">
      <c r="A264" t="s">
        <v>335</v>
      </c>
      <c r="B264" t="s">
        <v>15</v>
      </c>
      <c r="C264" t="s">
        <v>336</v>
      </c>
      <c r="D264" t="s">
        <v>25</v>
      </c>
      <c r="E264" t="s">
        <v>26</v>
      </c>
      <c r="F264" t="s">
        <v>19</v>
      </c>
      <c r="G264">
        <v>2019</v>
      </c>
      <c r="H264">
        <v>11566.2</v>
      </c>
      <c r="I264">
        <v>7224.2</v>
      </c>
      <c r="J264">
        <v>4349.3999999999996</v>
      </c>
      <c r="K264">
        <v>4663</v>
      </c>
      <c r="L264">
        <v>40.315747610000003</v>
      </c>
      <c r="M264">
        <v>6903.2</v>
      </c>
      <c r="N264">
        <v>59.684252389999997</v>
      </c>
    </row>
    <row r="265" spans="1:14" x14ac:dyDescent="0.35">
      <c r="A265" t="s">
        <v>337</v>
      </c>
      <c r="B265" t="s">
        <v>15</v>
      </c>
      <c r="C265" t="s">
        <v>338</v>
      </c>
      <c r="D265" t="s">
        <v>17</v>
      </c>
      <c r="E265" t="s">
        <v>61</v>
      </c>
      <c r="F265" t="s">
        <v>19</v>
      </c>
      <c r="G265">
        <v>2010</v>
      </c>
      <c r="H265">
        <v>11481.4</v>
      </c>
      <c r="I265">
        <v>11486.5</v>
      </c>
      <c r="J265">
        <v>0</v>
      </c>
      <c r="K265">
        <v>235.7</v>
      </c>
      <c r="L265">
        <v>2.0528855369999999</v>
      </c>
      <c r="M265">
        <v>11245.7</v>
      </c>
      <c r="N265">
        <v>97.947114459999995</v>
      </c>
    </row>
    <row r="266" spans="1:14" x14ac:dyDescent="0.35">
      <c r="A266" t="s">
        <v>339</v>
      </c>
      <c r="B266" t="s">
        <v>79</v>
      </c>
      <c r="C266" t="s">
        <v>22</v>
      </c>
      <c r="D266" t="s">
        <v>17</v>
      </c>
      <c r="E266" t="s">
        <v>52</v>
      </c>
      <c r="F266" t="s">
        <v>49</v>
      </c>
      <c r="G266">
        <v>2005</v>
      </c>
      <c r="H266">
        <v>11480.4</v>
      </c>
      <c r="I266">
        <v>8241.1</v>
      </c>
      <c r="J266">
        <v>3243.6</v>
      </c>
      <c r="K266">
        <v>11420.3</v>
      </c>
      <c r="L266">
        <v>99.476499079999996</v>
      </c>
      <c r="M266">
        <v>60.1</v>
      </c>
      <c r="N266">
        <v>0.52350092329999998</v>
      </c>
    </row>
    <row r="267" spans="1:14" x14ac:dyDescent="0.35">
      <c r="A267" t="s">
        <v>340</v>
      </c>
      <c r="B267" t="s">
        <v>15</v>
      </c>
      <c r="C267" t="s">
        <v>22</v>
      </c>
      <c r="D267" t="s">
        <v>17</v>
      </c>
      <c r="E267" t="s">
        <v>18</v>
      </c>
      <c r="F267" t="s">
        <v>19</v>
      </c>
      <c r="G267">
        <v>2012</v>
      </c>
      <c r="H267">
        <v>11475.1</v>
      </c>
      <c r="I267">
        <v>3956.3</v>
      </c>
      <c r="J267">
        <v>7518.7</v>
      </c>
      <c r="K267">
        <v>545.70000000000005</v>
      </c>
      <c r="L267">
        <v>4.7555141130000003</v>
      </c>
      <c r="M267">
        <v>10929.4</v>
      </c>
      <c r="N267">
        <v>95.244485890000007</v>
      </c>
    </row>
    <row r="268" spans="1:14" x14ac:dyDescent="0.35">
      <c r="A268" t="s">
        <v>341</v>
      </c>
      <c r="B268" t="s">
        <v>15</v>
      </c>
      <c r="C268" t="s">
        <v>60</v>
      </c>
      <c r="D268" t="s">
        <v>258</v>
      </c>
      <c r="E268" t="s">
        <v>18</v>
      </c>
      <c r="F268" t="s">
        <v>19</v>
      </c>
      <c r="G268">
        <v>2017</v>
      </c>
      <c r="H268">
        <v>11459.5</v>
      </c>
      <c r="I268">
        <v>7069.7</v>
      </c>
      <c r="J268">
        <v>4399.6000000000004</v>
      </c>
      <c r="K268">
        <v>5201.3999999999996</v>
      </c>
      <c r="L268">
        <v>45.389414899999998</v>
      </c>
      <c r="M268">
        <v>6258.1</v>
      </c>
      <c r="N268">
        <v>54.610585100000002</v>
      </c>
    </row>
    <row r="269" spans="1:14" x14ac:dyDescent="0.35">
      <c r="A269" t="s">
        <v>342</v>
      </c>
      <c r="B269" t="s">
        <v>15</v>
      </c>
      <c r="C269" t="s">
        <v>22</v>
      </c>
      <c r="D269" t="s">
        <v>17</v>
      </c>
      <c r="E269" t="s">
        <v>28</v>
      </c>
      <c r="F269" t="s">
        <v>19</v>
      </c>
      <c r="G269">
        <v>2006</v>
      </c>
      <c r="H269">
        <v>11428.5</v>
      </c>
      <c r="I269">
        <v>7562.2</v>
      </c>
      <c r="J269">
        <v>3868</v>
      </c>
      <c r="K269">
        <v>6108.9</v>
      </c>
      <c r="L269">
        <v>53.453209080000001</v>
      </c>
      <c r="M269">
        <v>5319.6</v>
      </c>
      <c r="N269">
        <v>46.546790919999999</v>
      </c>
    </row>
    <row r="270" spans="1:14" x14ac:dyDescent="0.35">
      <c r="A270" t="s">
        <v>343</v>
      </c>
      <c r="B270" t="s">
        <v>15</v>
      </c>
      <c r="C270" t="s">
        <v>22</v>
      </c>
      <c r="D270" t="s">
        <v>17</v>
      </c>
      <c r="E270" t="s">
        <v>52</v>
      </c>
      <c r="F270" t="s">
        <v>49</v>
      </c>
      <c r="G270">
        <v>1968</v>
      </c>
      <c r="H270">
        <v>11314.2</v>
      </c>
      <c r="I270">
        <v>11274.4</v>
      </c>
      <c r="J270">
        <v>44.7</v>
      </c>
      <c r="K270">
        <v>11264.9</v>
      </c>
      <c r="L270">
        <v>99.564264379999997</v>
      </c>
      <c r="M270">
        <v>49.3</v>
      </c>
      <c r="N270">
        <v>0.43573562430000001</v>
      </c>
    </row>
    <row r="271" spans="1:14" x14ac:dyDescent="0.35">
      <c r="A271" t="s">
        <v>344</v>
      </c>
      <c r="B271" t="s">
        <v>15</v>
      </c>
      <c r="C271" t="s">
        <v>22</v>
      </c>
      <c r="D271" t="s">
        <v>17</v>
      </c>
      <c r="E271" t="s">
        <v>28</v>
      </c>
      <c r="F271" t="s">
        <v>19</v>
      </c>
      <c r="G271">
        <v>2005</v>
      </c>
      <c r="H271">
        <v>11238.2</v>
      </c>
      <c r="I271">
        <v>4609.5</v>
      </c>
      <c r="J271">
        <v>6628.7</v>
      </c>
      <c r="K271">
        <v>839.9</v>
      </c>
      <c r="L271">
        <v>7.4736167709999997</v>
      </c>
      <c r="M271">
        <v>10398.299999999999</v>
      </c>
      <c r="N271">
        <v>92.526383229999993</v>
      </c>
    </row>
    <row r="272" spans="1:14" x14ac:dyDescent="0.35">
      <c r="A272" t="s">
        <v>345</v>
      </c>
      <c r="B272" t="s">
        <v>15</v>
      </c>
      <c r="C272" t="s">
        <v>46</v>
      </c>
      <c r="D272" t="s">
        <v>47</v>
      </c>
      <c r="E272" t="s">
        <v>48</v>
      </c>
      <c r="F272" t="s">
        <v>19</v>
      </c>
      <c r="G272">
        <v>2013</v>
      </c>
      <c r="H272">
        <v>11232.6</v>
      </c>
      <c r="I272">
        <v>9653.7999999999993</v>
      </c>
      <c r="J272">
        <v>1583.7</v>
      </c>
      <c r="K272">
        <v>4076.4</v>
      </c>
      <c r="L272">
        <v>36.29079643</v>
      </c>
      <c r="M272">
        <v>7156.2</v>
      </c>
      <c r="N272">
        <v>63.70920357</v>
      </c>
    </row>
    <row r="273" spans="1:14" x14ac:dyDescent="0.35">
      <c r="A273" t="s">
        <v>346</v>
      </c>
      <c r="B273" t="s">
        <v>15</v>
      </c>
      <c r="C273" t="s">
        <v>22</v>
      </c>
      <c r="D273" t="s">
        <v>17</v>
      </c>
      <c r="E273" t="s">
        <v>61</v>
      </c>
      <c r="F273" t="s">
        <v>19</v>
      </c>
      <c r="G273">
        <v>2010</v>
      </c>
      <c r="H273">
        <v>11198.8</v>
      </c>
      <c r="I273">
        <v>5328.3</v>
      </c>
      <c r="J273">
        <v>5873.2</v>
      </c>
      <c r="K273">
        <v>961.9</v>
      </c>
      <c r="L273">
        <v>8.5893131409999999</v>
      </c>
      <c r="M273">
        <v>10236.9</v>
      </c>
      <c r="N273">
        <v>91.410686859999998</v>
      </c>
    </row>
    <row r="274" spans="1:14" x14ac:dyDescent="0.35">
      <c r="A274" t="s">
        <v>347</v>
      </c>
      <c r="B274" t="s">
        <v>15</v>
      </c>
      <c r="C274" t="s">
        <v>22</v>
      </c>
      <c r="D274" t="s">
        <v>17</v>
      </c>
      <c r="E274" t="s">
        <v>18</v>
      </c>
      <c r="F274" t="s">
        <v>19</v>
      </c>
      <c r="G274">
        <v>2006</v>
      </c>
      <c r="H274">
        <v>11196</v>
      </c>
      <c r="I274">
        <v>10287.700000000001</v>
      </c>
      <c r="J274">
        <v>910.9</v>
      </c>
      <c r="K274">
        <v>656.6</v>
      </c>
      <c r="L274">
        <v>5.8645944979999998</v>
      </c>
      <c r="M274">
        <v>10539.4</v>
      </c>
      <c r="N274">
        <v>94.135405500000005</v>
      </c>
    </row>
    <row r="275" spans="1:14" x14ac:dyDescent="0.35">
      <c r="A275" t="s">
        <v>348</v>
      </c>
      <c r="B275" t="s">
        <v>15</v>
      </c>
      <c r="C275" t="s">
        <v>349</v>
      </c>
      <c r="D275" t="s">
        <v>17</v>
      </c>
      <c r="E275" t="s">
        <v>350</v>
      </c>
      <c r="F275" t="s">
        <v>19</v>
      </c>
      <c r="G275">
        <v>2011</v>
      </c>
      <c r="H275">
        <v>11149</v>
      </c>
      <c r="I275">
        <v>3260</v>
      </c>
      <c r="J275">
        <v>7882.2</v>
      </c>
      <c r="K275">
        <v>1292</v>
      </c>
      <c r="L275">
        <v>11.588483269999999</v>
      </c>
      <c r="M275">
        <v>9857</v>
      </c>
      <c r="N275">
        <v>88.411516730000002</v>
      </c>
    </row>
    <row r="276" spans="1:14" x14ac:dyDescent="0.35">
      <c r="A276" t="s">
        <v>351</v>
      </c>
      <c r="B276" t="s">
        <v>15</v>
      </c>
      <c r="C276" t="s">
        <v>34</v>
      </c>
      <c r="D276" t="s">
        <v>17</v>
      </c>
      <c r="E276" t="s">
        <v>52</v>
      </c>
      <c r="F276" t="s">
        <v>49</v>
      </c>
      <c r="G276">
        <v>1994</v>
      </c>
      <c r="H276">
        <v>11063.6</v>
      </c>
      <c r="I276">
        <v>11073.6</v>
      </c>
      <c r="J276">
        <v>0</v>
      </c>
      <c r="K276">
        <v>11061.4</v>
      </c>
      <c r="L276">
        <v>99.980114970000002</v>
      </c>
      <c r="M276">
        <v>2.2000000000000002</v>
      </c>
      <c r="N276">
        <v>1.9885028379999999E-2</v>
      </c>
    </row>
    <row r="277" spans="1:14" x14ac:dyDescent="0.35">
      <c r="A277" t="s">
        <v>352</v>
      </c>
      <c r="B277" t="s">
        <v>21</v>
      </c>
      <c r="C277" t="s">
        <v>22</v>
      </c>
      <c r="D277" t="s">
        <v>17</v>
      </c>
      <c r="E277" t="s">
        <v>23</v>
      </c>
      <c r="F277" t="s">
        <v>19</v>
      </c>
      <c r="G277">
        <v>1999</v>
      </c>
      <c r="H277">
        <v>11060.5</v>
      </c>
      <c r="I277">
        <v>6055.9</v>
      </c>
      <c r="J277">
        <v>5004.6000000000004</v>
      </c>
      <c r="K277">
        <v>4661.1000000000004</v>
      </c>
      <c r="L277">
        <v>42.141856150000002</v>
      </c>
      <c r="M277">
        <v>6399.4</v>
      </c>
      <c r="N277">
        <v>57.858143849999998</v>
      </c>
    </row>
    <row r="278" spans="1:14" x14ac:dyDescent="0.35">
      <c r="A278" t="s">
        <v>353</v>
      </c>
      <c r="B278" t="s">
        <v>15</v>
      </c>
      <c r="C278" t="s">
        <v>22</v>
      </c>
      <c r="D278" t="s">
        <v>17</v>
      </c>
      <c r="E278" t="s">
        <v>292</v>
      </c>
      <c r="F278" t="s">
        <v>49</v>
      </c>
      <c r="G278">
        <v>1999</v>
      </c>
      <c r="H278">
        <v>11051.4</v>
      </c>
      <c r="I278">
        <v>11056.2</v>
      </c>
      <c r="J278">
        <v>0</v>
      </c>
      <c r="K278">
        <v>11051.4</v>
      </c>
      <c r="L278">
        <v>100</v>
      </c>
      <c r="M278">
        <v>0</v>
      </c>
      <c r="N278">
        <v>0</v>
      </c>
    </row>
    <row r="279" spans="1:14" x14ac:dyDescent="0.35">
      <c r="A279" t="s">
        <v>354</v>
      </c>
      <c r="B279" t="s">
        <v>15</v>
      </c>
      <c r="C279" t="s">
        <v>72</v>
      </c>
      <c r="D279" t="s">
        <v>73</v>
      </c>
      <c r="E279" t="s">
        <v>74</v>
      </c>
      <c r="F279" t="s">
        <v>19</v>
      </c>
      <c r="G279">
        <v>2004</v>
      </c>
      <c r="H279">
        <v>11014.9</v>
      </c>
      <c r="I279">
        <v>5793.9</v>
      </c>
      <c r="J279">
        <v>5236.3</v>
      </c>
      <c r="K279">
        <v>0</v>
      </c>
      <c r="L279">
        <v>0</v>
      </c>
      <c r="M279">
        <v>11014.9</v>
      </c>
      <c r="N279">
        <v>100</v>
      </c>
    </row>
    <row r="280" spans="1:14" x14ac:dyDescent="0.35">
      <c r="A280" t="s">
        <v>355</v>
      </c>
      <c r="B280" t="s">
        <v>21</v>
      </c>
      <c r="C280" t="s">
        <v>34</v>
      </c>
      <c r="D280" t="s">
        <v>17</v>
      </c>
      <c r="E280" t="s">
        <v>23</v>
      </c>
      <c r="F280" t="s">
        <v>49</v>
      </c>
      <c r="G280">
        <v>2011</v>
      </c>
      <c r="H280">
        <v>10985.7</v>
      </c>
      <c r="I280">
        <v>0</v>
      </c>
      <c r="J280">
        <v>11024.9</v>
      </c>
      <c r="K280">
        <v>6916.9</v>
      </c>
      <c r="L280">
        <v>62.962760680000002</v>
      </c>
      <c r="M280">
        <v>4068.8</v>
      </c>
      <c r="N280">
        <v>37.037239319999998</v>
      </c>
    </row>
    <row r="281" spans="1:14" x14ac:dyDescent="0.35">
      <c r="A281" t="s">
        <v>356</v>
      </c>
      <c r="B281" t="s">
        <v>15</v>
      </c>
      <c r="C281" t="s">
        <v>43</v>
      </c>
      <c r="D281" t="s">
        <v>25</v>
      </c>
      <c r="E281" t="s">
        <v>26</v>
      </c>
      <c r="F281" t="s">
        <v>19</v>
      </c>
      <c r="G281">
        <v>2019</v>
      </c>
      <c r="H281">
        <v>10974</v>
      </c>
      <c r="I281">
        <v>9511.5</v>
      </c>
      <c r="J281">
        <v>1474.2</v>
      </c>
      <c r="K281">
        <v>3645.8</v>
      </c>
      <c r="L281">
        <v>33.222161470000003</v>
      </c>
      <c r="M281">
        <v>7328.2</v>
      </c>
      <c r="N281">
        <v>66.777838529999997</v>
      </c>
    </row>
    <row r="282" spans="1:14" x14ac:dyDescent="0.35">
      <c r="A282" t="s">
        <v>357</v>
      </c>
      <c r="B282" t="s">
        <v>15</v>
      </c>
      <c r="C282" t="s">
        <v>22</v>
      </c>
      <c r="D282" t="s">
        <v>17</v>
      </c>
      <c r="E282" t="s">
        <v>18</v>
      </c>
      <c r="F282" t="s">
        <v>19</v>
      </c>
      <c r="G282">
        <v>1993</v>
      </c>
      <c r="H282">
        <v>10968.8</v>
      </c>
      <c r="I282">
        <v>5006.3999999999996</v>
      </c>
      <c r="J282">
        <v>5977.1</v>
      </c>
      <c r="K282">
        <v>7034.7</v>
      </c>
      <c r="L282">
        <v>64.133724749999999</v>
      </c>
      <c r="M282">
        <v>3934.1</v>
      </c>
      <c r="N282">
        <v>35.866275250000001</v>
      </c>
    </row>
    <row r="283" spans="1:14" x14ac:dyDescent="0.35">
      <c r="A283" t="s">
        <v>358</v>
      </c>
      <c r="B283" t="s">
        <v>21</v>
      </c>
      <c r="C283" t="s">
        <v>246</v>
      </c>
      <c r="D283" t="s">
        <v>17</v>
      </c>
      <c r="E283" t="s">
        <v>58</v>
      </c>
      <c r="F283" t="s">
        <v>19</v>
      </c>
      <c r="G283">
        <v>2012</v>
      </c>
      <c r="H283">
        <v>10939.4</v>
      </c>
      <c r="I283">
        <v>9358.7999999999993</v>
      </c>
      <c r="J283">
        <v>1614.9</v>
      </c>
      <c r="K283">
        <v>10795.1</v>
      </c>
      <c r="L283">
        <v>98.680914860000001</v>
      </c>
      <c r="M283">
        <v>144.30000000000001</v>
      </c>
      <c r="N283">
        <v>1.319085142</v>
      </c>
    </row>
    <row r="284" spans="1:14" x14ac:dyDescent="0.35">
      <c r="A284" t="s">
        <v>359</v>
      </c>
      <c r="B284" t="s">
        <v>15</v>
      </c>
      <c r="C284" t="s">
        <v>22</v>
      </c>
      <c r="D284" t="s">
        <v>25</v>
      </c>
      <c r="E284" t="s">
        <v>26</v>
      </c>
      <c r="F284" t="s">
        <v>19</v>
      </c>
      <c r="G284">
        <v>2006</v>
      </c>
      <c r="H284">
        <v>10933.4</v>
      </c>
      <c r="I284">
        <v>10905.7</v>
      </c>
      <c r="J284">
        <v>38</v>
      </c>
      <c r="K284">
        <v>8.1</v>
      </c>
      <c r="L284">
        <v>7.4084914119999998E-2</v>
      </c>
      <c r="M284">
        <v>10925.3</v>
      </c>
      <c r="N284">
        <v>99.925915090000004</v>
      </c>
    </row>
    <row r="285" spans="1:14" x14ac:dyDescent="0.35">
      <c r="A285" t="s">
        <v>360</v>
      </c>
      <c r="B285" t="s">
        <v>15</v>
      </c>
      <c r="C285" t="s">
        <v>167</v>
      </c>
      <c r="D285" t="s">
        <v>168</v>
      </c>
      <c r="E285" t="s">
        <v>169</v>
      </c>
      <c r="F285" t="s">
        <v>49</v>
      </c>
      <c r="G285">
        <v>2011</v>
      </c>
      <c r="H285">
        <v>10914.2</v>
      </c>
      <c r="I285">
        <v>9203.4</v>
      </c>
      <c r="J285">
        <v>1721.9</v>
      </c>
      <c r="K285">
        <v>8573.2000000000007</v>
      </c>
      <c r="L285">
        <v>78.550878670000003</v>
      </c>
      <c r="M285">
        <v>2341</v>
      </c>
      <c r="N285">
        <v>21.449121330000001</v>
      </c>
    </row>
    <row r="286" spans="1:14" x14ac:dyDescent="0.35">
      <c r="A286" t="s">
        <v>361</v>
      </c>
      <c r="B286" t="s">
        <v>15</v>
      </c>
      <c r="C286" t="s">
        <v>129</v>
      </c>
      <c r="D286" t="s">
        <v>130</v>
      </c>
      <c r="E286" t="s">
        <v>292</v>
      </c>
      <c r="F286" t="s">
        <v>49</v>
      </c>
      <c r="G286">
        <v>1995</v>
      </c>
      <c r="H286">
        <v>10902.6</v>
      </c>
      <c r="I286">
        <v>10910.3</v>
      </c>
      <c r="J286">
        <v>0</v>
      </c>
      <c r="K286">
        <v>10773.4</v>
      </c>
      <c r="L286">
        <v>98.814961569999994</v>
      </c>
      <c r="M286">
        <v>129.19999999999999</v>
      </c>
      <c r="N286">
        <v>1.1850384309999999</v>
      </c>
    </row>
    <row r="287" spans="1:14" x14ac:dyDescent="0.35">
      <c r="A287" t="s">
        <v>362</v>
      </c>
      <c r="B287" t="s">
        <v>15</v>
      </c>
      <c r="C287" t="s">
        <v>34</v>
      </c>
      <c r="D287" t="s">
        <v>17</v>
      </c>
      <c r="E287" t="s">
        <v>23</v>
      </c>
      <c r="F287" t="s">
        <v>19</v>
      </c>
      <c r="G287">
        <v>2010</v>
      </c>
      <c r="H287">
        <v>10783.2</v>
      </c>
      <c r="I287">
        <v>7412.3</v>
      </c>
      <c r="J287">
        <v>3373.2</v>
      </c>
      <c r="K287">
        <v>5819.8</v>
      </c>
      <c r="L287">
        <v>53.970991910000002</v>
      </c>
      <c r="M287">
        <v>4963.3999999999996</v>
      </c>
      <c r="N287">
        <v>46.029008089999998</v>
      </c>
    </row>
    <row r="288" spans="1:14" x14ac:dyDescent="0.35">
      <c r="A288" t="s">
        <v>363</v>
      </c>
      <c r="B288" t="s">
        <v>15</v>
      </c>
      <c r="C288" t="s">
        <v>22</v>
      </c>
      <c r="D288" t="s">
        <v>25</v>
      </c>
      <c r="E288" t="s">
        <v>26</v>
      </c>
      <c r="F288" t="s">
        <v>19</v>
      </c>
      <c r="G288">
        <v>1999</v>
      </c>
      <c r="H288">
        <v>10776.2</v>
      </c>
      <c r="I288">
        <v>10712.5</v>
      </c>
      <c r="J288">
        <v>63.9</v>
      </c>
      <c r="K288">
        <v>291.89999999999998</v>
      </c>
      <c r="L288">
        <v>2.7087470539999998</v>
      </c>
      <c r="M288">
        <v>10484.299999999999</v>
      </c>
      <c r="N288">
        <v>97.291252950000001</v>
      </c>
    </row>
    <row r="289" spans="1:14" x14ac:dyDescent="0.35">
      <c r="A289" t="s">
        <v>364</v>
      </c>
      <c r="B289" t="s">
        <v>15</v>
      </c>
      <c r="C289" t="s">
        <v>22</v>
      </c>
      <c r="D289" t="s">
        <v>25</v>
      </c>
      <c r="E289" t="s">
        <v>26</v>
      </c>
      <c r="F289" t="s">
        <v>19</v>
      </c>
      <c r="G289">
        <v>2010</v>
      </c>
      <c r="H289">
        <v>10772</v>
      </c>
      <c r="I289">
        <v>595.6</v>
      </c>
      <c r="J289">
        <v>10180.6</v>
      </c>
      <c r="K289">
        <v>689.2</v>
      </c>
      <c r="L289">
        <v>6.3980690679999999</v>
      </c>
      <c r="M289">
        <v>10082.799999999999</v>
      </c>
      <c r="N289">
        <v>93.601930929999995</v>
      </c>
    </row>
    <row r="290" spans="1:14" x14ac:dyDescent="0.35">
      <c r="A290" t="s">
        <v>365</v>
      </c>
      <c r="B290" t="s">
        <v>15</v>
      </c>
      <c r="C290" t="s">
        <v>22</v>
      </c>
      <c r="D290" t="s">
        <v>17</v>
      </c>
      <c r="E290" t="s">
        <v>52</v>
      </c>
      <c r="F290" t="s">
        <v>49</v>
      </c>
      <c r="G290">
        <v>1984</v>
      </c>
      <c r="H290">
        <v>10771.3</v>
      </c>
      <c r="I290">
        <v>10772.2</v>
      </c>
      <c r="J290">
        <v>0.6</v>
      </c>
      <c r="K290">
        <v>10575.9</v>
      </c>
      <c r="L290">
        <v>98.185919990000002</v>
      </c>
      <c r="M290">
        <v>195.4</v>
      </c>
      <c r="N290">
        <v>1.814080009</v>
      </c>
    </row>
    <row r="291" spans="1:14" x14ac:dyDescent="0.35">
      <c r="A291" t="s">
        <v>366</v>
      </c>
      <c r="B291" t="s">
        <v>15</v>
      </c>
      <c r="C291" t="s">
        <v>22</v>
      </c>
      <c r="D291" t="s">
        <v>17</v>
      </c>
      <c r="E291" t="s">
        <v>52</v>
      </c>
      <c r="F291" t="s">
        <v>49</v>
      </c>
      <c r="G291">
        <v>2004</v>
      </c>
      <c r="H291">
        <v>10767.6</v>
      </c>
      <c r="I291">
        <v>1893.8</v>
      </c>
      <c r="J291">
        <v>8878.2000000000007</v>
      </c>
      <c r="K291">
        <v>10569.4</v>
      </c>
      <c r="L291">
        <v>98.159292690000001</v>
      </c>
      <c r="M291">
        <v>198.2</v>
      </c>
      <c r="N291">
        <v>1.840707307</v>
      </c>
    </row>
    <row r="292" spans="1:14" x14ac:dyDescent="0.35">
      <c r="A292" t="s">
        <v>367</v>
      </c>
      <c r="B292" t="s">
        <v>15</v>
      </c>
      <c r="C292" t="s">
        <v>22</v>
      </c>
      <c r="D292" t="s">
        <v>17</v>
      </c>
      <c r="E292" t="s">
        <v>52</v>
      </c>
      <c r="F292" t="s">
        <v>49</v>
      </c>
      <c r="G292">
        <v>1995</v>
      </c>
      <c r="H292">
        <v>10760.4</v>
      </c>
      <c r="I292">
        <v>10630.4</v>
      </c>
      <c r="J292">
        <v>133.80000000000001</v>
      </c>
      <c r="K292">
        <v>10584.7</v>
      </c>
      <c r="L292">
        <v>98.367161069999995</v>
      </c>
      <c r="M292">
        <v>175.7</v>
      </c>
      <c r="N292">
        <v>1.632838928</v>
      </c>
    </row>
    <row r="293" spans="1:14" x14ac:dyDescent="0.35">
      <c r="A293" t="s">
        <v>368</v>
      </c>
      <c r="B293" t="s">
        <v>21</v>
      </c>
      <c r="C293" t="s">
        <v>22</v>
      </c>
      <c r="D293" t="s">
        <v>17</v>
      </c>
      <c r="E293" t="s">
        <v>28</v>
      </c>
      <c r="F293" t="s">
        <v>19</v>
      </c>
      <c r="G293">
        <v>2018</v>
      </c>
      <c r="H293">
        <v>10756.4</v>
      </c>
      <c r="I293">
        <v>7776.1</v>
      </c>
      <c r="J293">
        <v>2980.3</v>
      </c>
      <c r="K293">
        <v>3834.9</v>
      </c>
      <c r="L293">
        <v>35.652262839999999</v>
      </c>
      <c r="M293">
        <v>6921.5</v>
      </c>
      <c r="N293">
        <v>64.347737159999994</v>
      </c>
    </row>
    <row r="294" spans="1:14" x14ac:dyDescent="0.35">
      <c r="A294" t="s">
        <v>369</v>
      </c>
      <c r="B294" t="s">
        <v>21</v>
      </c>
      <c r="C294" t="s">
        <v>22</v>
      </c>
      <c r="D294" t="s">
        <v>17</v>
      </c>
      <c r="E294" t="s">
        <v>28</v>
      </c>
      <c r="F294" t="s">
        <v>19</v>
      </c>
      <c r="G294">
        <v>2002</v>
      </c>
      <c r="H294">
        <v>10731.7</v>
      </c>
      <c r="I294">
        <v>6224.9</v>
      </c>
      <c r="J294">
        <v>4506.8</v>
      </c>
      <c r="K294">
        <v>3239.2</v>
      </c>
      <c r="L294">
        <v>30.183475130000001</v>
      </c>
      <c r="M294">
        <v>7492.5</v>
      </c>
      <c r="N294">
        <v>69.816524869999995</v>
      </c>
    </row>
    <row r="295" spans="1:14" x14ac:dyDescent="0.35">
      <c r="A295" t="s">
        <v>370</v>
      </c>
      <c r="B295" t="s">
        <v>21</v>
      </c>
      <c r="C295" t="s">
        <v>22</v>
      </c>
      <c r="D295" t="s">
        <v>17</v>
      </c>
      <c r="E295" t="s">
        <v>28</v>
      </c>
      <c r="F295" t="s">
        <v>19</v>
      </c>
      <c r="G295">
        <v>2014</v>
      </c>
      <c r="H295">
        <v>10712.8</v>
      </c>
      <c r="I295">
        <v>6060.2</v>
      </c>
      <c r="J295">
        <v>4663.3999999999996</v>
      </c>
      <c r="K295">
        <v>4257.3999999999996</v>
      </c>
      <c r="L295">
        <v>39.741244119999998</v>
      </c>
      <c r="M295">
        <v>6455.4</v>
      </c>
      <c r="N295">
        <v>60.258755880000002</v>
      </c>
    </row>
    <row r="296" spans="1:14" x14ac:dyDescent="0.35">
      <c r="A296" t="s">
        <v>371</v>
      </c>
      <c r="B296" t="s">
        <v>79</v>
      </c>
      <c r="C296" t="s">
        <v>34</v>
      </c>
      <c r="D296" t="s">
        <v>17</v>
      </c>
      <c r="E296" t="s">
        <v>23</v>
      </c>
      <c r="F296" t="s">
        <v>49</v>
      </c>
      <c r="G296">
        <v>2012</v>
      </c>
      <c r="H296">
        <v>10711.2</v>
      </c>
      <c r="I296">
        <v>10381.4</v>
      </c>
      <c r="J296">
        <v>333.5</v>
      </c>
      <c r="K296">
        <v>73.400000000000006</v>
      </c>
      <c r="L296">
        <v>0.68526402269999998</v>
      </c>
      <c r="M296">
        <v>10637.8</v>
      </c>
      <c r="N296">
        <v>99.314735979999995</v>
      </c>
    </row>
    <row r="297" spans="1:14" x14ac:dyDescent="0.35">
      <c r="A297" t="s">
        <v>372</v>
      </c>
      <c r="B297" t="s">
        <v>15</v>
      </c>
      <c r="C297" t="s">
        <v>34</v>
      </c>
      <c r="D297" t="s">
        <v>17</v>
      </c>
      <c r="E297" t="s">
        <v>52</v>
      </c>
      <c r="F297" t="s">
        <v>19</v>
      </c>
      <c r="G297">
        <v>1967</v>
      </c>
      <c r="H297">
        <v>10696.6</v>
      </c>
      <c r="I297">
        <v>8379.6</v>
      </c>
      <c r="J297">
        <v>2317</v>
      </c>
      <c r="K297">
        <v>8204.5</v>
      </c>
      <c r="L297">
        <v>76.701942669999994</v>
      </c>
      <c r="M297">
        <v>2492.1</v>
      </c>
      <c r="N297">
        <v>23.298057329999999</v>
      </c>
    </row>
    <row r="298" spans="1:14" x14ac:dyDescent="0.35">
      <c r="A298" t="s">
        <v>373</v>
      </c>
      <c r="B298" t="s">
        <v>15</v>
      </c>
      <c r="C298" t="s">
        <v>205</v>
      </c>
      <c r="D298" t="s">
        <v>17</v>
      </c>
      <c r="E298" t="s">
        <v>52</v>
      </c>
      <c r="F298" t="s">
        <v>49</v>
      </c>
      <c r="G298">
        <v>1979</v>
      </c>
      <c r="H298">
        <v>10616.1</v>
      </c>
      <c r="I298">
        <v>10020.5</v>
      </c>
      <c r="J298">
        <v>599.29999999999995</v>
      </c>
      <c r="K298">
        <v>9771.2999999999993</v>
      </c>
      <c r="L298">
        <v>92.042275410000002</v>
      </c>
      <c r="M298">
        <v>844.8</v>
      </c>
      <c r="N298">
        <v>7.9577245879999996</v>
      </c>
    </row>
    <row r="299" spans="1:14" x14ac:dyDescent="0.35">
      <c r="A299" t="s">
        <v>374</v>
      </c>
      <c r="B299" t="s">
        <v>15</v>
      </c>
      <c r="C299" t="s">
        <v>22</v>
      </c>
      <c r="D299" t="s">
        <v>25</v>
      </c>
      <c r="E299" t="s">
        <v>152</v>
      </c>
      <c r="F299" t="s">
        <v>49</v>
      </c>
      <c r="G299">
        <v>1996</v>
      </c>
      <c r="H299">
        <v>10607</v>
      </c>
      <c r="I299">
        <v>10520.3</v>
      </c>
      <c r="J299">
        <v>92.7</v>
      </c>
      <c r="K299">
        <v>8371.2999999999993</v>
      </c>
      <c r="L299">
        <v>78.922409729999998</v>
      </c>
      <c r="M299">
        <v>2235.6999999999998</v>
      </c>
      <c r="N299">
        <v>21.077590270000002</v>
      </c>
    </row>
    <row r="300" spans="1:14" x14ac:dyDescent="0.35">
      <c r="A300" t="s">
        <v>375</v>
      </c>
      <c r="B300" t="s">
        <v>15</v>
      </c>
      <c r="C300" t="s">
        <v>22</v>
      </c>
      <c r="D300" t="s">
        <v>17</v>
      </c>
      <c r="E300" t="s">
        <v>52</v>
      </c>
      <c r="F300" t="s">
        <v>49</v>
      </c>
      <c r="G300">
        <v>1994</v>
      </c>
      <c r="H300">
        <v>10571.1</v>
      </c>
      <c r="I300">
        <v>10570.2</v>
      </c>
      <c r="J300">
        <v>4.5</v>
      </c>
      <c r="K300">
        <v>10555.6</v>
      </c>
      <c r="L300">
        <v>99.853373820000002</v>
      </c>
      <c r="M300">
        <v>15.5</v>
      </c>
      <c r="N300">
        <v>0.14662617889999999</v>
      </c>
    </row>
    <row r="301" spans="1:14" x14ac:dyDescent="0.35">
      <c r="A301" t="s">
        <v>376</v>
      </c>
      <c r="B301" t="s">
        <v>15</v>
      </c>
      <c r="C301" t="s">
        <v>34</v>
      </c>
      <c r="D301" t="s">
        <v>17</v>
      </c>
      <c r="E301" t="s">
        <v>52</v>
      </c>
      <c r="F301" t="s">
        <v>49</v>
      </c>
      <c r="G301">
        <v>2012</v>
      </c>
      <c r="H301">
        <v>10489.6</v>
      </c>
      <c r="I301">
        <v>10191.700000000001</v>
      </c>
      <c r="J301">
        <v>301.5</v>
      </c>
      <c r="K301">
        <v>10165.9</v>
      </c>
      <c r="L301">
        <v>96.914086330000003</v>
      </c>
      <c r="M301">
        <v>323.7</v>
      </c>
      <c r="N301">
        <v>3.0859136669999998</v>
      </c>
    </row>
    <row r="302" spans="1:14" x14ac:dyDescent="0.35">
      <c r="A302" t="s">
        <v>377</v>
      </c>
      <c r="B302" t="s">
        <v>21</v>
      </c>
      <c r="C302" t="s">
        <v>223</v>
      </c>
      <c r="D302" t="s">
        <v>25</v>
      </c>
      <c r="E302" t="s">
        <v>83</v>
      </c>
      <c r="F302" t="s">
        <v>19</v>
      </c>
      <c r="G302">
        <v>2019</v>
      </c>
      <c r="H302">
        <v>10476.9</v>
      </c>
      <c r="I302">
        <v>3977.8</v>
      </c>
      <c r="J302">
        <v>6499.1</v>
      </c>
      <c r="K302">
        <v>2597.3000000000002</v>
      </c>
      <c r="L302">
        <v>24.790730079999999</v>
      </c>
      <c r="M302">
        <v>7879.6</v>
      </c>
      <c r="N302">
        <v>75.209269919999997</v>
      </c>
    </row>
    <row r="303" spans="1:14" x14ac:dyDescent="0.35">
      <c r="A303" t="s">
        <v>378</v>
      </c>
      <c r="B303" t="s">
        <v>15</v>
      </c>
      <c r="C303" t="s">
        <v>34</v>
      </c>
      <c r="D303" t="s">
        <v>17</v>
      </c>
      <c r="E303" t="s">
        <v>18</v>
      </c>
      <c r="F303" t="s">
        <v>19</v>
      </c>
      <c r="G303">
        <v>2006</v>
      </c>
      <c r="H303">
        <v>10449</v>
      </c>
      <c r="I303">
        <v>7062.7</v>
      </c>
      <c r="J303">
        <v>3394.7</v>
      </c>
      <c r="K303">
        <v>6337.8</v>
      </c>
      <c r="L303">
        <v>60.654608099999997</v>
      </c>
      <c r="M303">
        <v>4111.2</v>
      </c>
      <c r="N303">
        <v>39.345391900000003</v>
      </c>
    </row>
    <row r="304" spans="1:14" x14ac:dyDescent="0.35">
      <c r="A304" t="s">
        <v>379</v>
      </c>
      <c r="B304" t="s">
        <v>15</v>
      </c>
      <c r="C304" t="s">
        <v>22</v>
      </c>
      <c r="D304" t="s">
        <v>17</v>
      </c>
      <c r="E304" t="s">
        <v>28</v>
      </c>
      <c r="F304" t="s">
        <v>19</v>
      </c>
      <c r="G304">
        <v>2015</v>
      </c>
      <c r="H304">
        <v>10368.700000000001</v>
      </c>
      <c r="I304">
        <v>9179.2000000000007</v>
      </c>
      <c r="J304">
        <v>1201.2</v>
      </c>
      <c r="K304">
        <v>8970.6</v>
      </c>
      <c r="L304">
        <v>86.516149569999996</v>
      </c>
      <c r="M304">
        <v>1398.1</v>
      </c>
      <c r="N304">
        <v>13.48385043</v>
      </c>
    </row>
    <row r="305" spans="1:14" x14ac:dyDescent="0.35">
      <c r="A305" t="s">
        <v>380</v>
      </c>
      <c r="B305" t="s">
        <v>15</v>
      </c>
      <c r="C305" t="s">
        <v>22</v>
      </c>
      <c r="D305" t="s">
        <v>25</v>
      </c>
      <c r="E305" t="s">
        <v>26</v>
      </c>
      <c r="F305" t="s">
        <v>19</v>
      </c>
      <c r="G305">
        <v>2004</v>
      </c>
      <c r="H305">
        <v>10352.799999999999</v>
      </c>
      <c r="I305">
        <v>1937.7</v>
      </c>
      <c r="J305">
        <v>8415.1</v>
      </c>
      <c r="K305">
        <v>410.2</v>
      </c>
      <c r="L305">
        <v>3.962213121</v>
      </c>
      <c r="M305">
        <v>9942.6</v>
      </c>
      <c r="N305">
        <v>96.037786879999999</v>
      </c>
    </row>
    <row r="306" spans="1:14" x14ac:dyDescent="0.35">
      <c r="A306" t="s">
        <v>381</v>
      </c>
      <c r="B306" t="s">
        <v>15</v>
      </c>
      <c r="C306" t="s">
        <v>382</v>
      </c>
      <c r="D306" t="s">
        <v>17</v>
      </c>
      <c r="E306" t="s">
        <v>23</v>
      </c>
      <c r="F306" t="s">
        <v>19</v>
      </c>
      <c r="G306">
        <v>2006</v>
      </c>
      <c r="H306">
        <v>10332.799999999999</v>
      </c>
      <c r="I306">
        <v>7323</v>
      </c>
      <c r="J306">
        <v>3009.8</v>
      </c>
      <c r="K306">
        <v>6153.5</v>
      </c>
      <c r="L306">
        <v>59.55307371</v>
      </c>
      <c r="M306">
        <v>4179.3</v>
      </c>
      <c r="N306">
        <v>40.44692629</v>
      </c>
    </row>
    <row r="307" spans="1:14" x14ac:dyDescent="0.35">
      <c r="A307" t="s">
        <v>383</v>
      </c>
      <c r="B307" t="s">
        <v>15</v>
      </c>
      <c r="C307" t="s">
        <v>22</v>
      </c>
      <c r="D307" t="s">
        <v>17</v>
      </c>
      <c r="E307" t="s">
        <v>23</v>
      </c>
      <c r="F307" t="s">
        <v>19</v>
      </c>
      <c r="G307">
        <v>2017</v>
      </c>
      <c r="H307">
        <v>10313.5</v>
      </c>
      <c r="I307">
        <v>10145.1</v>
      </c>
      <c r="J307">
        <v>172</v>
      </c>
      <c r="K307">
        <v>10141.5</v>
      </c>
      <c r="L307">
        <v>98.332282930000005</v>
      </c>
      <c r="M307">
        <v>172</v>
      </c>
      <c r="N307">
        <v>1.6677170699999999</v>
      </c>
    </row>
    <row r="308" spans="1:14" x14ac:dyDescent="0.35">
      <c r="A308" t="s">
        <v>384</v>
      </c>
      <c r="B308" t="s">
        <v>15</v>
      </c>
      <c r="C308" t="s">
        <v>22</v>
      </c>
      <c r="D308" t="s">
        <v>17</v>
      </c>
      <c r="E308" t="s">
        <v>18</v>
      </c>
      <c r="F308" t="s">
        <v>19</v>
      </c>
      <c r="G308">
        <v>1999</v>
      </c>
      <c r="H308">
        <v>10293</v>
      </c>
      <c r="I308">
        <v>6016.2</v>
      </c>
      <c r="J308">
        <v>4284.3</v>
      </c>
      <c r="K308">
        <v>745.9</v>
      </c>
      <c r="L308">
        <v>7.2466724960000004</v>
      </c>
      <c r="M308">
        <v>9547.1</v>
      </c>
      <c r="N308">
        <v>92.753327499999997</v>
      </c>
    </row>
    <row r="309" spans="1:14" x14ac:dyDescent="0.35">
      <c r="A309" t="s">
        <v>385</v>
      </c>
      <c r="B309" t="s">
        <v>15</v>
      </c>
      <c r="C309" t="s">
        <v>349</v>
      </c>
      <c r="D309" t="s">
        <v>17</v>
      </c>
      <c r="E309" t="s">
        <v>350</v>
      </c>
      <c r="F309" t="s">
        <v>19</v>
      </c>
      <c r="G309">
        <v>2012</v>
      </c>
      <c r="H309">
        <v>10290.6</v>
      </c>
      <c r="I309">
        <v>2289.1999999999998</v>
      </c>
      <c r="J309">
        <v>8003.8</v>
      </c>
      <c r="K309">
        <v>4395.8</v>
      </c>
      <c r="L309">
        <v>42.716654030000001</v>
      </c>
      <c r="M309">
        <v>5894.8</v>
      </c>
      <c r="N309">
        <v>57.283345969999999</v>
      </c>
    </row>
    <row r="310" spans="1:14" x14ac:dyDescent="0.35">
      <c r="A310" t="s">
        <v>386</v>
      </c>
      <c r="B310" t="s">
        <v>15</v>
      </c>
      <c r="C310" t="s">
        <v>387</v>
      </c>
      <c r="D310" t="s">
        <v>25</v>
      </c>
      <c r="E310" t="s">
        <v>83</v>
      </c>
      <c r="F310" t="s">
        <v>19</v>
      </c>
      <c r="G310">
        <v>2009</v>
      </c>
      <c r="H310">
        <v>10234.299999999999</v>
      </c>
      <c r="I310">
        <v>8102.5</v>
      </c>
      <c r="J310">
        <v>2138.3000000000002</v>
      </c>
      <c r="K310">
        <v>6955</v>
      </c>
      <c r="L310">
        <v>67.957749919999998</v>
      </c>
      <c r="M310">
        <v>3279.3</v>
      </c>
      <c r="N310">
        <v>32.042250080000002</v>
      </c>
    </row>
    <row r="311" spans="1:14" x14ac:dyDescent="0.35">
      <c r="A311" t="s">
        <v>388</v>
      </c>
      <c r="B311" t="s">
        <v>15</v>
      </c>
      <c r="C311" t="s">
        <v>22</v>
      </c>
      <c r="D311" t="s">
        <v>17</v>
      </c>
      <c r="E311" t="s">
        <v>18</v>
      </c>
      <c r="F311" t="s">
        <v>19</v>
      </c>
      <c r="G311">
        <v>2003</v>
      </c>
      <c r="H311">
        <v>10231.200000000001</v>
      </c>
      <c r="I311">
        <v>7551.1</v>
      </c>
      <c r="J311">
        <v>2685</v>
      </c>
      <c r="K311">
        <v>2118.4</v>
      </c>
      <c r="L311">
        <v>20.705293609999998</v>
      </c>
      <c r="M311">
        <v>8112.8</v>
      </c>
      <c r="N311">
        <v>79.294706390000002</v>
      </c>
    </row>
    <row r="312" spans="1:14" x14ac:dyDescent="0.35">
      <c r="A312" t="s">
        <v>389</v>
      </c>
      <c r="B312" t="s">
        <v>15</v>
      </c>
      <c r="C312" t="s">
        <v>22</v>
      </c>
      <c r="D312" t="s">
        <v>17</v>
      </c>
      <c r="E312" t="s">
        <v>52</v>
      </c>
      <c r="F312" t="s">
        <v>49</v>
      </c>
      <c r="G312">
        <v>2002</v>
      </c>
      <c r="H312">
        <v>10180.200000000001</v>
      </c>
      <c r="I312">
        <v>10185.799999999999</v>
      </c>
      <c r="J312">
        <v>0</v>
      </c>
      <c r="K312">
        <v>10132.799999999999</v>
      </c>
      <c r="L312">
        <v>99.534390290000005</v>
      </c>
      <c r="M312">
        <v>47.4</v>
      </c>
      <c r="N312">
        <v>0.46560971299999998</v>
      </c>
    </row>
    <row r="313" spans="1:14" x14ac:dyDescent="0.35">
      <c r="A313" t="s">
        <v>390</v>
      </c>
      <c r="B313" t="s">
        <v>21</v>
      </c>
      <c r="C313" t="s">
        <v>16</v>
      </c>
      <c r="D313" t="s">
        <v>17</v>
      </c>
      <c r="E313" t="s">
        <v>23</v>
      </c>
      <c r="F313" t="s">
        <v>19</v>
      </c>
      <c r="G313">
        <v>2015</v>
      </c>
      <c r="H313">
        <v>10179.299999999999</v>
      </c>
      <c r="I313">
        <v>6431.1</v>
      </c>
      <c r="J313">
        <v>3750.4</v>
      </c>
      <c r="K313">
        <v>5420.2</v>
      </c>
      <c r="L313">
        <v>53.247276339999999</v>
      </c>
      <c r="M313">
        <v>4759.1000000000004</v>
      </c>
      <c r="N313">
        <v>46.752723660000001</v>
      </c>
    </row>
    <row r="314" spans="1:14" x14ac:dyDescent="0.35">
      <c r="A314" t="s">
        <v>391</v>
      </c>
      <c r="B314" t="s">
        <v>15</v>
      </c>
      <c r="C314" t="s">
        <v>72</v>
      </c>
      <c r="D314" t="s">
        <v>73</v>
      </c>
      <c r="E314" t="s">
        <v>74</v>
      </c>
      <c r="F314" t="s">
        <v>49</v>
      </c>
      <c r="G314">
        <v>1999</v>
      </c>
      <c r="H314">
        <v>10165</v>
      </c>
      <c r="I314">
        <v>8858.9</v>
      </c>
      <c r="J314">
        <v>1312.6</v>
      </c>
      <c r="K314">
        <v>6.7</v>
      </c>
      <c r="L314">
        <v>6.591244466E-2</v>
      </c>
      <c r="M314">
        <v>10158.299999999999</v>
      </c>
      <c r="N314">
        <v>99.934087559999995</v>
      </c>
    </row>
    <row r="315" spans="1:14" x14ac:dyDescent="0.35">
      <c r="A315" t="s">
        <v>392</v>
      </c>
      <c r="B315" t="s">
        <v>15</v>
      </c>
      <c r="C315" t="s">
        <v>223</v>
      </c>
      <c r="D315" t="s">
        <v>25</v>
      </c>
      <c r="E315" t="s">
        <v>18</v>
      </c>
      <c r="F315" t="s">
        <v>19</v>
      </c>
      <c r="G315">
        <v>2017</v>
      </c>
      <c r="H315">
        <v>10160.5</v>
      </c>
      <c r="I315">
        <v>8082</v>
      </c>
      <c r="J315">
        <v>2081.6999999999998</v>
      </c>
      <c r="K315">
        <v>6415.1</v>
      </c>
      <c r="L315">
        <v>63.137640859999998</v>
      </c>
      <c r="M315">
        <v>3745.4</v>
      </c>
      <c r="N315">
        <v>36.862359140000002</v>
      </c>
    </row>
    <row r="316" spans="1:14" x14ac:dyDescent="0.35">
      <c r="A316" t="s">
        <v>393</v>
      </c>
      <c r="B316" t="s">
        <v>15</v>
      </c>
      <c r="C316" t="s">
        <v>90</v>
      </c>
      <c r="D316" t="s">
        <v>25</v>
      </c>
      <c r="E316" t="s">
        <v>91</v>
      </c>
      <c r="F316" t="s">
        <v>49</v>
      </c>
      <c r="G316">
        <v>1997</v>
      </c>
      <c r="H316">
        <v>10147.9</v>
      </c>
      <c r="I316">
        <v>10065.9</v>
      </c>
      <c r="J316">
        <v>89.1</v>
      </c>
      <c r="K316">
        <v>9956.7999999999993</v>
      </c>
      <c r="L316">
        <v>98.116851760000003</v>
      </c>
      <c r="M316">
        <v>191.1</v>
      </c>
      <c r="N316">
        <v>1.883148238</v>
      </c>
    </row>
    <row r="317" spans="1:14" x14ac:dyDescent="0.35">
      <c r="A317" t="s">
        <v>394</v>
      </c>
      <c r="B317" t="s">
        <v>15</v>
      </c>
      <c r="C317" t="s">
        <v>22</v>
      </c>
      <c r="D317" t="s">
        <v>17</v>
      </c>
      <c r="E317" t="s">
        <v>18</v>
      </c>
      <c r="F317" t="s">
        <v>19</v>
      </c>
      <c r="G317">
        <v>2015</v>
      </c>
      <c r="H317">
        <v>10141.700000000001</v>
      </c>
      <c r="I317">
        <v>9084.2000000000007</v>
      </c>
      <c r="J317">
        <v>1067.9000000000001</v>
      </c>
      <c r="K317">
        <v>7696.5</v>
      </c>
      <c r="L317">
        <v>75.889643750000005</v>
      </c>
      <c r="M317">
        <v>2445.1999999999998</v>
      </c>
      <c r="N317">
        <v>24.110356249999999</v>
      </c>
    </row>
    <row r="318" spans="1:14" x14ac:dyDescent="0.35">
      <c r="A318" t="s">
        <v>395</v>
      </c>
      <c r="B318" t="s">
        <v>15</v>
      </c>
      <c r="C318" t="s">
        <v>167</v>
      </c>
      <c r="D318" t="s">
        <v>168</v>
      </c>
      <c r="E318" t="s">
        <v>169</v>
      </c>
      <c r="F318" t="s">
        <v>49</v>
      </c>
      <c r="G318">
        <v>2010</v>
      </c>
      <c r="H318">
        <v>10122.5</v>
      </c>
      <c r="I318">
        <v>8138.6</v>
      </c>
      <c r="J318">
        <v>1988.4</v>
      </c>
      <c r="K318">
        <v>5614.2</v>
      </c>
      <c r="L318">
        <v>55.462583350000003</v>
      </c>
      <c r="M318">
        <v>4508.3</v>
      </c>
      <c r="N318">
        <v>44.537416649999997</v>
      </c>
    </row>
    <row r="319" spans="1:14" x14ac:dyDescent="0.35">
      <c r="A319" t="s">
        <v>396</v>
      </c>
      <c r="B319" t="s">
        <v>15</v>
      </c>
      <c r="C319" t="s">
        <v>167</v>
      </c>
      <c r="D319" t="s">
        <v>168</v>
      </c>
      <c r="E319" t="s">
        <v>61</v>
      </c>
      <c r="F319" t="s">
        <v>19</v>
      </c>
      <c r="G319">
        <v>2004</v>
      </c>
      <c r="H319">
        <v>10115.700000000001</v>
      </c>
      <c r="I319">
        <v>9351.5</v>
      </c>
      <c r="J319">
        <v>766.2</v>
      </c>
      <c r="K319">
        <v>269.8</v>
      </c>
      <c r="L319">
        <v>2.667141177</v>
      </c>
      <c r="M319">
        <v>9845.9</v>
      </c>
      <c r="N319">
        <v>97.332858819999998</v>
      </c>
    </row>
    <row r="320" spans="1:14" x14ac:dyDescent="0.35">
      <c r="A320" t="s">
        <v>397</v>
      </c>
      <c r="B320" t="s">
        <v>15</v>
      </c>
      <c r="C320" t="s">
        <v>34</v>
      </c>
      <c r="D320" t="s">
        <v>17</v>
      </c>
      <c r="E320" t="s">
        <v>52</v>
      </c>
      <c r="F320" t="s">
        <v>49</v>
      </c>
      <c r="G320">
        <v>2006</v>
      </c>
      <c r="H320">
        <v>10108</v>
      </c>
      <c r="I320">
        <v>8333.7000000000007</v>
      </c>
      <c r="J320">
        <v>1782</v>
      </c>
      <c r="K320">
        <v>8006.1</v>
      </c>
      <c r="L320">
        <v>79.205579740000005</v>
      </c>
      <c r="M320">
        <v>2101.9</v>
      </c>
      <c r="N320">
        <v>20.794420259999999</v>
      </c>
    </row>
    <row r="321" spans="1:14" x14ac:dyDescent="0.35">
      <c r="A321" t="s">
        <v>398</v>
      </c>
      <c r="B321" t="s">
        <v>15</v>
      </c>
      <c r="C321" t="s">
        <v>34</v>
      </c>
      <c r="D321" t="s">
        <v>17</v>
      </c>
      <c r="E321" t="s">
        <v>18</v>
      </c>
      <c r="F321" t="s">
        <v>19</v>
      </c>
      <c r="G321">
        <v>2014</v>
      </c>
      <c r="H321">
        <v>10095.5</v>
      </c>
      <c r="I321">
        <v>6587</v>
      </c>
      <c r="J321">
        <v>3508.5</v>
      </c>
      <c r="K321">
        <v>5050.8999999999996</v>
      </c>
      <c r="L321">
        <v>50.031202020000002</v>
      </c>
      <c r="M321">
        <v>5044.6000000000004</v>
      </c>
      <c r="N321">
        <v>49.968797979999998</v>
      </c>
    </row>
    <row r="322" spans="1:14" x14ac:dyDescent="0.35">
      <c r="A322" t="s">
        <v>399</v>
      </c>
      <c r="B322" t="s">
        <v>79</v>
      </c>
      <c r="C322" t="s">
        <v>22</v>
      </c>
      <c r="D322" t="s">
        <v>17</v>
      </c>
      <c r="E322" t="s">
        <v>140</v>
      </c>
      <c r="F322" t="s">
        <v>49</v>
      </c>
      <c r="G322">
        <v>2009</v>
      </c>
      <c r="H322">
        <v>10048.299999999999</v>
      </c>
      <c r="I322">
        <v>3456.4</v>
      </c>
      <c r="J322">
        <v>6591.9</v>
      </c>
      <c r="K322">
        <v>257</v>
      </c>
      <c r="L322">
        <v>2.5576465669999999</v>
      </c>
      <c r="M322">
        <v>9791.2999999999993</v>
      </c>
      <c r="N322">
        <v>97.442353429999997</v>
      </c>
    </row>
    <row r="323" spans="1:14" x14ac:dyDescent="0.35">
      <c r="A323" t="s">
        <v>400</v>
      </c>
      <c r="B323" t="s">
        <v>15</v>
      </c>
      <c r="C323" t="s">
        <v>16</v>
      </c>
      <c r="D323" t="s">
        <v>17</v>
      </c>
      <c r="E323" t="s">
        <v>52</v>
      </c>
      <c r="F323" t="s">
        <v>19</v>
      </c>
      <c r="G323">
        <v>2012</v>
      </c>
      <c r="H323">
        <v>9970.2000000000007</v>
      </c>
      <c r="I323">
        <v>9813.7000000000007</v>
      </c>
      <c r="J323">
        <v>161.5</v>
      </c>
      <c r="K323">
        <v>9795.7999999999993</v>
      </c>
      <c r="L323">
        <v>98.250787349999996</v>
      </c>
      <c r="M323">
        <v>174.4</v>
      </c>
      <c r="N323">
        <v>1.7492126539999999</v>
      </c>
    </row>
    <row r="324" spans="1:14" x14ac:dyDescent="0.35">
      <c r="A324" t="s">
        <v>401</v>
      </c>
      <c r="B324" t="s">
        <v>15</v>
      </c>
      <c r="C324" t="s">
        <v>22</v>
      </c>
      <c r="D324" t="s">
        <v>17</v>
      </c>
      <c r="E324" t="s">
        <v>23</v>
      </c>
      <c r="F324" t="s">
        <v>19</v>
      </c>
      <c r="G324">
        <v>2021</v>
      </c>
      <c r="H324">
        <v>9949.6</v>
      </c>
      <c r="I324">
        <v>9956.4</v>
      </c>
      <c r="J324">
        <v>0</v>
      </c>
      <c r="K324">
        <v>9911.9</v>
      </c>
      <c r="L324">
        <v>99.621090300000006</v>
      </c>
      <c r="M324">
        <v>37.700000000000003</v>
      </c>
      <c r="N324">
        <v>0.37890970489999998</v>
      </c>
    </row>
    <row r="325" spans="1:14" x14ac:dyDescent="0.35">
      <c r="A325" t="s">
        <v>402</v>
      </c>
      <c r="B325" t="s">
        <v>15</v>
      </c>
      <c r="C325" t="s">
        <v>22</v>
      </c>
      <c r="D325" t="s">
        <v>25</v>
      </c>
      <c r="E325" t="s">
        <v>26</v>
      </c>
      <c r="F325" t="s">
        <v>19</v>
      </c>
      <c r="G325">
        <v>2014</v>
      </c>
      <c r="H325">
        <v>9948.7000000000007</v>
      </c>
      <c r="I325">
        <v>4105.3</v>
      </c>
      <c r="J325">
        <v>5843.4</v>
      </c>
      <c r="K325">
        <v>471.7</v>
      </c>
      <c r="L325">
        <v>4.7413229870000002</v>
      </c>
      <c r="M325">
        <v>9477</v>
      </c>
      <c r="N325">
        <v>95.25867701</v>
      </c>
    </row>
    <row r="326" spans="1:14" x14ac:dyDescent="0.35">
      <c r="A326" t="s">
        <v>403</v>
      </c>
      <c r="B326" t="s">
        <v>15</v>
      </c>
      <c r="C326" t="s">
        <v>16</v>
      </c>
      <c r="D326" t="s">
        <v>17</v>
      </c>
      <c r="E326" t="s">
        <v>52</v>
      </c>
      <c r="F326" t="s">
        <v>49</v>
      </c>
      <c r="G326">
        <v>1996</v>
      </c>
      <c r="H326">
        <v>9933.4</v>
      </c>
      <c r="I326">
        <v>9932.9</v>
      </c>
      <c r="J326">
        <v>6.1</v>
      </c>
      <c r="K326">
        <v>9864.7000000000007</v>
      </c>
      <c r="L326">
        <v>99.308393899999999</v>
      </c>
      <c r="M326">
        <v>68.7</v>
      </c>
      <c r="N326">
        <v>0.69160609660000005</v>
      </c>
    </row>
    <row r="327" spans="1:14" x14ac:dyDescent="0.35">
      <c r="A327" t="s">
        <v>404</v>
      </c>
      <c r="B327" t="s">
        <v>15</v>
      </c>
      <c r="C327" t="s">
        <v>22</v>
      </c>
      <c r="D327" t="s">
        <v>25</v>
      </c>
      <c r="E327" t="s">
        <v>83</v>
      </c>
      <c r="F327" t="s">
        <v>19</v>
      </c>
      <c r="G327">
        <v>1988</v>
      </c>
      <c r="H327">
        <v>9914.5</v>
      </c>
      <c r="I327">
        <v>6239</v>
      </c>
      <c r="J327">
        <v>3689.5</v>
      </c>
      <c r="K327">
        <v>5931.4</v>
      </c>
      <c r="L327">
        <v>59.82550809</v>
      </c>
      <c r="M327">
        <v>3983.1</v>
      </c>
      <c r="N327">
        <v>40.17449191</v>
      </c>
    </row>
    <row r="328" spans="1:14" x14ac:dyDescent="0.35">
      <c r="A328" t="s">
        <v>405</v>
      </c>
      <c r="B328" t="s">
        <v>79</v>
      </c>
      <c r="C328" t="s">
        <v>90</v>
      </c>
      <c r="D328" t="s">
        <v>25</v>
      </c>
      <c r="E328" t="s">
        <v>52</v>
      </c>
      <c r="F328" t="s">
        <v>49</v>
      </c>
      <c r="G328">
        <v>1987</v>
      </c>
      <c r="H328">
        <v>9914.4</v>
      </c>
      <c r="I328">
        <v>9921.1</v>
      </c>
      <c r="J328">
        <v>6.1</v>
      </c>
      <c r="K328">
        <v>7817.7</v>
      </c>
      <c r="L328">
        <v>78.851972889999999</v>
      </c>
      <c r="M328">
        <v>2096.6999999999998</v>
      </c>
      <c r="N328">
        <v>21.148027110000001</v>
      </c>
    </row>
    <row r="329" spans="1:14" x14ac:dyDescent="0.35">
      <c r="A329" t="s">
        <v>406</v>
      </c>
      <c r="B329" t="s">
        <v>15</v>
      </c>
      <c r="C329" t="s">
        <v>34</v>
      </c>
      <c r="D329" t="s">
        <v>17</v>
      </c>
      <c r="E329" t="s">
        <v>52</v>
      </c>
      <c r="F329" t="s">
        <v>49</v>
      </c>
      <c r="G329">
        <v>1969</v>
      </c>
      <c r="H329">
        <v>9909.5</v>
      </c>
      <c r="I329">
        <v>9912.7999999999993</v>
      </c>
      <c r="J329">
        <v>0</v>
      </c>
      <c r="K329">
        <v>9909.5</v>
      </c>
      <c r="L329">
        <v>100</v>
      </c>
      <c r="M329">
        <v>0</v>
      </c>
      <c r="N329">
        <v>0</v>
      </c>
    </row>
    <row r="330" spans="1:14" x14ac:dyDescent="0.35">
      <c r="A330" t="s">
        <v>407</v>
      </c>
      <c r="B330" t="s">
        <v>79</v>
      </c>
      <c r="C330" t="s">
        <v>408</v>
      </c>
      <c r="D330" t="s">
        <v>409</v>
      </c>
      <c r="E330" t="s">
        <v>52</v>
      </c>
      <c r="F330" t="s">
        <v>49</v>
      </c>
      <c r="G330">
        <v>2017</v>
      </c>
      <c r="H330">
        <v>9899.4</v>
      </c>
      <c r="I330">
        <v>9883</v>
      </c>
      <c r="J330">
        <v>20.100000000000001</v>
      </c>
      <c r="K330">
        <v>9351.9</v>
      </c>
      <c r="L330">
        <v>94.46936178</v>
      </c>
      <c r="M330">
        <v>547.5</v>
      </c>
      <c r="N330">
        <v>5.5306382200000002</v>
      </c>
    </row>
    <row r="331" spans="1:14" x14ac:dyDescent="0.35">
      <c 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53.809287390000001</v>
      </c>
    </row>
    <row r="332" spans="1:14" x14ac:dyDescent="0.35">
      <c r="A332" t="s">
        <v>411</v>
      </c>
      <c r="B332" t="s">
        <v>15</v>
      </c>
      <c r="C332" t="s">
        <v>22</v>
      </c>
      <c r="D332" t="s">
        <v>25</v>
      </c>
      <c r="E332" t="s">
        <v>83</v>
      </c>
      <c r="F332" t="s">
        <v>19</v>
      </c>
      <c r="G332">
        <v>1998</v>
      </c>
      <c r="H332">
        <v>9862.6</v>
      </c>
      <c r="I332">
        <v>4889.8</v>
      </c>
      <c r="J332">
        <v>4976.3999999999996</v>
      </c>
      <c r="K332">
        <v>1538.9</v>
      </c>
      <c r="L332">
        <v>15.60339059</v>
      </c>
      <c r="M332">
        <v>8323.7000000000007</v>
      </c>
      <c r="N332">
        <v>84.396609409999996</v>
      </c>
    </row>
    <row r="333" spans="1:14" x14ac:dyDescent="0.35">
      <c r="A333" t="s">
        <v>412</v>
      </c>
      <c r="B333" t="s">
        <v>21</v>
      </c>
      <c r="C333" t="s">
        <v>34</v>
      </c>
      <c r="D333" t="s">
        <v>17</v>
      </c>
      <c r="E333" t="s">
        <v>23</v>
      </c>
      <c r="F333" t="s">
        <v>19</v>
      </c>
      <c r="G333">
        <v>2014</v>
      </c>
      <c r="H333">
        <v>9859.6</v>
      </c>
      <c r="I333">
        <v>4832.5</v>
      </c>
      <c r="J333">
        <v>5032.8999999999996</v>
      </c>
      <c r="K333">
        <v>2441.1</v>
      </c>
      <c r="L333">
        <v>24.758610900000001</v>
      </c>
      <c r="M333">
        <v>7418.5</v>
      </c>
      <c r="N333">
        <v>75.241389100000006</v>
      </c>
    </row>
    <row r="334" spans="1:14" x14ac:dyDescent="0.35">
      <c r="A334" t="s">
        <v>413</v>
      </c>
      <c r="B334" t="s">
        <v>15</v>
      </c>
      <c r="C334" t="s">
        <v>90</v>
      </c>
      <c r="D334" t="s">
        <v>25</v>
      </c>
      <c r="E334" t="s">
        <v>83</v>
      </c>
      <c r="F334" t="s">
        <v>19</v>
      </c>
      <c r="G334">
        <v>2023</v>
      </c>
      <c r="H334">
        <v>9854</v>
      </c>
      <c r="I334">
        <v>8668.1</v>
      </c>
      <c r="J334">
        <v>1197.3</v>
      </c>
      <c r="K334">
        <v>2611.1</v>
      </c>
      <c r="L334">
        <v>26.497868889999999</v>
      </c>
      <c r="M334">
        <v>7242.9</v>
      </c>
      <c r="N334">
        <v>73.502131109999993</v>
      </c>
    </row>
    <row r="335" spans="1:14" x14ac:dyDescent="0.35">
      <c r="A335" t="s">
        <v>414</v>
      </c>
      <c r="B335" t="s">
        <v>21</v>
      </c>
      <c r="C335" t="s">
        <v>22</v>
      </c>
      <c r="D335" t="s">
        <v>17</v>
      </c>
      <c r="E335" t="s">
        <v>23</v>
      </c>
      <c r="F335" t="s">
        <v>19</v>
      </c>
      <c r="G335">
        <v>2019</v>
      </c>
      <c r="H335">
        <v>9797.7999999999993</v>
      </c>
      <c r="I335">
        <v>9279.7000000000007</v>
      </c>
      <c r="J335">
        <v>543.29999999999995</v>
      </c>
      <c r="K335">
        <v>8953.2000000000007</v>
      </c>
      <c r="L335">
        <v>91.379697480000004</v>
      </c>
      <c r="M335">
        <v>844.6</v>
      </c>
      <c r="N335">
        <v>8.6203025170000007</v>
      </c>
    </row>
    <row r="336" spans="1:14" x14ac:dyDescent="0.35">
      <c r="A336" t="s">
        <v>415</v>
      </c>
      <c r="B336" t="s">
        <v>15</v>
      </c>
      <c r="C336" t="s">
        <v>22</v>
      </c>
      <c r="D336" t="s">
        <v>17</v>
      </c>
      <c r="E336" t="s">
        <v>18</v>
      </c>
      <c r="F336" t="s">
        <v>19</v>
      </c>
      <c r="G336">
        <v>1997</v>
      </c>
      <c r="H336">
        <v>9734</v>
      </c>
      <c r="I336">
        <v>4314.3</v>
      </c>
      <c r="J336">
        <v>5425.4</v>
      </c>
      <c r="K336">
        <v>31</v>
      </c>
      <c r="L336">
        <v>0.31847133760000002</v>
      </c>
      <c r="M336">
        <v>9703</v>
      </c>
      <c r="N336">
        <v>99.681528659999998</v>
      </c>
    </row>
    <row r="337" spans="1:14" x14ac:dyDescent="0.35">
      <c r="A337" t="s">
        <v>416</v>
      </c>
      <c r="B337" t="s">
        <v>15</v>
      </c>
      <c r="C337" t="s">
        <v>22</v>
      </c>
      <c r="D337" t="s">
        <v>17</v>
      </c>
      <c r="E337" t="s">
        <v>28</v>
      </c>
      <c r="F337" t="s">
        <v>19</v>
      </c>
      <c r="G337">
        <v>2009</v>
      </c>
      <c r="H337">
        <v>9713</v>
      </c>
      <c r="I337">
        <v>5586.8</v>
      </c>
      <c r="J337">
        <v>4126.1000000000004</v>
      </c>
      <c r="K337">
        <v>2334.8000000000002</v>
      </c>
      <c r="L337">
        <v>24.03788737</v>
      </c>
      <c r="M337">
        <v>7378.2</v>
      </c>
      <c r="N337">
        <v>75.962112629999993</v>
      </c>
    </row>
    <row r="338" spans="1:14" x14ac:dyDescent="0.35">
      <c r="A338" t="s">
        <v>417</v>
      </c>
      <c r="B338" t="s">
        <v>15</v>
      </c>
      <c r="C338" t="s">
        <v>22</v>
      </c>
      <c r="D338" t="s">
        <v>17</v>
      </c>
      <c r="E338" t="s">
        <v>273</v>
      </c>
      <c r="F338" t="s">
        <v>49</v>
      </c>
      <c r="G338">
        <v>2012</v>
      </c>
      <c r="H338">
        <v>9666.1</v>
      </c>
      <c r="I338">
        <v>9207.9</v>
      </c>
      <c r="J338">
        <v>460.8</v>
      </c>
      <c r="K338">
        <v>9168.2999999999993</v>
      </c>
      <c r="L338">
        <v>94.850042930000001</v>
      </c>
      <c r="M338">
        <v>497.8</v>
      </c>
      <c r="N338">
        <v>5.1499570659999998</v>
      </c>
    </row>
    <row r="339" spans="1:14" x14ac:dyDescent="0.35">
      <c r="A339" t="s">
        <v>418</v>
      </c>
      <c r="B339" t="s">
        <v>15</v>
      </c>
      <c r="C339" t="s">
        <v>90</v>
      </c>
      <c r="D339" t="s">
        <v>25</v>
      </c>
      <c r="E339" t="s">
        <v>83</v>
      </c>
      <c r="F339" t="s">
        <v>19</v>
      </c>
      <c r="G339">
        <v>2020</v>
      </c>
      <c r="H339">
        <v>9609</v>
      </c>
      <c r="I339">
        <v>5573.7</v>
      </c>
      <c r="J339">
        <v>4061</v>
      </c>
      <c r="K339">
        <v>436.8</v>
      </c>
      <c r="L339">
        <v>4.5457383699999996</v>
      </c>
      <c r="M339">
        <v>9172.2000000000007</v>
      </c>
      <c r="N339">
        <v>95.454261630000005</v>
      </c>
    </row>
    <row r="340" spans="1:14" x14ac:dyDescent="0.35">
      <c r="A340" t="s">
        <v>419</v>
      </c>
      <c r="B340" t="s">
        <v>15</v>
      </c>
      <c r="C340" t="s">
        <v>22</v>
      </c>
      <c r="D340" t="s">
        <v>17</v>
      </c>
      <c r="E340" t="s">
        <v>28</v>
      </c>
      <c r="F340" t="s">
        <v>19</v>
      </c>
      <c r="G340">
        <v>2014</v>
      </c>
      <c r="H340">
        <v>9513.7000000000007</v>
      </c>
      <c r="I340">
        <v>9454.2999999999993</v>
      </c>
      <c r="J340">
        <v>63.4</v>
      </c>
      <c r="K340">
        <v>1289.2</v>
      </c>
      <c r="L340">
        <v>13.55098437</v>
      </c>
      <c r="M340">
        <v>8224.5</v>
      </c>
      <c r="N340">
        <v>86.449015630000005</v>
      </c>
    </row>
    <row r="341" spans="1:14" x14ac:dyDescent="0.35">
      <c r="A341" t="s">
        <v>420</v>
      </c>
      <c r="B341" t="s">
        <v>15</v>
      </c>
      <c r="C341" t="s">
        <v>95</v>
      </c>
      <c r="D341" t="s">
        <v>17</v>
      </c>
      <c r="E341" t="s">
        <v>28</v>
      </c>
      <c r="F341" t="s">
        <v>49</v>
      </c>
      <c r="G341">
        <v>2014</v>
      </c>
      <c r="H341">
        <v>9513</v>
      </c>
      <c r="I341">
        <v>9329.2999999999993</v>
      </c>
      <c r="J341">
        <v>185.8</v>
      </c>
      <c r="K341">
        <v>8793</v>
      </c>
      <c r="L341">
        <v>92.431409650000006</v>
      </c>
      <c r="M341">
        <v>720</v>
      </c>
      <c r="N341">
        <v>7.56859035</v>
      </c>
    </row>
    <row r="342" spans="1:14" x14ac:dyDescent="0.35">
      <c r="A342" t="s">
        <v>421</v>
      </c>
      <c r="B342" t="s">
        <v>15</v>
      </c>
      <c r="C342" t="s">
        <v>90</v>
      </c>
      <c r="D342" t="s">
        <v>25</v>
      </c>
      <c r="E342" t="s">
        <v>91</v>
      </c>
      <c r="F342" t="s">
        <v>49</v>
      </c>
      <c r="G342">
        <v>2007</v>
      </c>
      <c r="H342">
        <v>9503.2999999999993</v>
      </c>
      <c r="I342">
        <v>2467.8000000000002</v>
      </c>
      <c r="J342">
        <v>7045.9</v>
      </c>
      <c r="K342">
        <v>9278.4</v>
      </c>
      <c r="L342">
        <v>97.633453639999999</v>
      </c>
      <c r="M342">
        <v>224.9</v>
      </c>
      <c r="N342">
        <v>2.3665463579999999</v>
      </c>
    </row>
    <row r="343" spans="1:14" x14ac:dyDescent="0.35">
      <c r="A343" t="s">
        <v>422</v>
      </c>
      <c r="B343" t="s">
        <v>15</v>
      </c>
      <c r="C343" t="s">
        <v>22</v>
      </c>
      <c r="D343" t="s">
        <v>25</v>
      </c>
      <c r="E343" t="s">
        <v>152</v>
      </c>
      <c r="F343" t="s">
        <v>19</v>
      </c>
      <c r="G343">
        <v>2010</v>
      </c>
      <c r="H343">
        <v>9495.2000000000007</v>
      </c>
      <c r="I343">
        <v>6483.6</v>
      </c>
      <c r="J343">
        <v>3011.7</v>
      </c>
      <c r="K343">
        <v>4320.3999999999996</v>
      </c>
      <c r="L343">
        <v>45.500884659999997</v>
      </c>
      <c r="M343">
        <v>5174.8</v>
      </c>
      <c r="N343">
        <v>54.499115340000003</v>
      </c>
    </row>
    <row r="344" spans="1:14" x14ac:dyDescent="0.35">
      <c r="A344" t="s">
        <v>423</v>
      </c>
      <c r="B344" t="s">
        <v>15</v>
      </c>
      <c r="C344" t="s">
        <v>34</v>
      </c>
      <c r="D344" t="s">
        <v>17</v>
      </c>
      <c r="E344" t="s">
        <v>58</v>
      </c>
      <c r="F344" t="s">
        <v>49</v>
      </c>
      <c r="G344">
        <v>2010</v>
      </c>
      <c r="H344">
        <v>9439.9</v>
      </c>
      <c r="I344">
        <v>4498.2</v>
      </c>
      <c r="J344">
        <v>4948.6000000000004</v>
      </c>
      <c r="K344">
        <v>5621.4</v>
      </c>
      <c r="L344">
        <v>59.549359629999998</v>
      </c>
      <c r="M344">
        <v>3818.5</v>
      </c>
      <c r="N344">
        <v>40.450640370000002</v>
      </c>
    </row>
    <row r="345" spans="1:14" x14ac:dyDescent="0.35">
      <c r="A345" t="s">
        <v>424</v>
      </c>
      <c r="B345" t="s">
        <v>15</v>
      </c>
      <c r="C345" t="s">
        <v>408</v>
      </c>
      <c r="D345" t="s">
        <v>409</v>
      </c>
      <c r="E345" t="s">
        <v>18</v>
      </c>
      <c r="F345" t="s">
        <v>19</v>
      </c>
      <c r="G345">
        <v>2011</v>
      </c>
      <c r="H345">
        <v>9437.2999999999993</v>
      </c>
      <c r="I345">
        <v>6110.3</v>
      </c>
      <c r="J345">
        <v>3331.7</v>
      </c>
      <c r="K345">
        <v>2399.1999999999998</v>
      </c>
      <c r="L345">
        <v>25.42252551</v>
      </c>
      <c r="M345">
        <v>7038.1</v>
      </c>
      <c r="N345">
        <v>74.57747449</v>
      </c>
    </row>
    <row r="346" spans="1:14" x14ac:dyDescent="0.35">
      <c r="A346" t="s">
        <v>425</v>
      </c>
      <c r="B346" t="s">
        <v>21</v>
      </c>
      <c r="C346" t="s">
        <v>34</v>
      </c>
      <c r="D346" t="s">
        <v>17</v>
      </c>
      <c r="E346" t="s">
        <v>52</v>
      </c>
      <c r="F346" t="s">
        <v>49</v>
      </c>
      <c r="G346">
        <v>2009</v>
      </c>
      <c r="H346">
        <v>9401</v>
      </c>
      <c r="I346">
        <v>8691.5</v>
      </c>
      <c r="J346">
        <v>712.9</v>
      </c>
      <c r="K346">
        <v>8081.2</v>
      </c>
      <c r="L346">
        <v>85.961067970000002</v>
      </c>
      <c r="M346">
        <v>1319.8</v>
      </c>
      <c r="N346">
        <v>14.03893203</v>
      </c>
    </row>
    <row r="347" spans="1:14" x14ac:dyDescent="0.35">
      <c r="A347" t="s">
        <v>426</v>
      </c>
      <c r="B347" t="s">
        <v>15</v>
      </c>
      <c r="C347" t="s">
        <v>22</v>
      </c>
      <c r="D347" t="s">
        <v>17</v>
      </c>
      <c r="E347" t="s">
        <v>18</v>
      </c>
      <c r="F347" t="s">
        <v>19</v>
      </c>
      <c r="G347">
        <v>2008</v>
      </c>
      <c r="H347">
        <v>9362.2999999999993</v>
      </c>
      <c r="I347">
        <v>4260.1000000000004</v>
      </c>
      <c r="J347">
        <v>5102.2</v>
      </c>
      <c r="K347">
        <v>1075.5999999999999</v>
      </c>
      <c r="L347">
        <v>11.48862993</v>
      </c>
      <c r="M347">
        <v>8286.7000000000007</v>
      </c>
      <c r="N347">
        <v>88.511370069999998</v>
      </c>
    </row>
    <row r="348" spans="1:14" x14ac:dyDescent="0.35">
      <c r="A348" t="s">
        <v>427</v>
      </c>
      <c r="B348" t="s">
        <v>15</v>
      </c>
      <c r="C348" t="s">
        <v>243</v>
      </c>
      <c r="D348" t="s">
        <v>25</v>
      </c>
      <c r="E348" t="s">
        <v>83</v>
      </c>
      <c r="F348" t="s">
        <v>19</v>
      </c>
      <c r="G348">
        <v>1989</v>
      </c>
      <c r="H348">
        <v>9340.1</v>
      </c>
      <c r="I348">
        <v>6691.7</v>
      </c>
      <c r="J348">
        <v>2658.2</v>
      </c>
      <c r="K348">
        <v>5230.2</v>
      </c>
      <c r="L348">
        <v>55.997259130000003</v>
      </c>
      <c r="M348">
        <v>4109.8999999999996</v>
      </c>
      <c r="N348">
        <v>44.002740869999997</v>
      </c>
    </row>
    <row r="349" spans="1:14" x14ac:dyDescent="0.35">
      <c r="A349" t="s">
        <v>428</v>
      </c>
      <c r="B349" t="s">
        <v>15</v>
      </c>
      <c r="C349" t="s">
        <v>22</v>
      </c>
      <c r="D349" t="s">
        <v>17</v>
      </c>
      <c r="E349" t="s">
        <v>18</v>
      </c>
      <c r="F349" t="s">
        <v>19</v>
      </c>
      <c r="G349">
        <v>2017</v>
      </c>
      <c r="H349">
        <v>9314.7999999999993</v>
      </c>
      <c r="I349">
        <v>5409.5</v>
      </c>
      <c r="J349">
        <v>3905.3</v>
      </c>
      <c r="K349">
        <v>1907.2</v>
      </c>
      <c r="L349">
        <v>20.474943100000001</v>
      </c>
      <c r="M349">
        <v>7407.6</v>
      </c>
      <c r="N349">
        <v>79.525056899999996</v>
      </c>
    </row>
    <row r="350" spans="1:14" x14ac:dyDescent="0.35">
      <c r="A350" t="s">
        <v>429</v>
      </c>
      <c r="B350" t="s">
        <v>15</v>
      </c>
      <c r="C350" t="s">
        <v>22</v>
      </c>
      <c r="D350" t="s">
        <v>17</v>
      </c>
      <c r="E350" t="s">
        <v>28</v>
      </c>
      <c r="F350" t="s">
        <v>19</v>
      </c>
      <c r="G350">
        <v>2018</v>
      </c>
      <c r="H350">
        <v>9302.9</v>
      </c>
      <c r="I350">
        <v>5809.3</v>
      </c>
      <c r="J350">
        <v>3497.2</v>
      </c>
      <c r="K350">
        <v>5699</v>
      </c>
      <c r="L350">
        <v>61.260467169999998</v>
      </c>
      <c r="M350">
        <v>3603.9</v>
      </c>
      <c r="N350">
        <v>38.739532830000002</v>
      </c>
    </row>
    <row r="351" spans="1:14" x14ac:dyDescent="0.35">
      <c r="A351" t="s">
        <v>430</v>
      </c>
      <c r="B351" t="s">
        <v>15</v>
      </c>
      <c r="C351" t="s">
        <v>22</v>
      </c>
      <c r="D351" t="s">
        <v>17</v>
      </c>
      <c r="E351" t="s">
        <v>52</v>
      </c>
      <c r="F351" t="s">
        <v>19</v>
      </c>
      <c r="G351">
        <v>1971</v>
      </c>
      <c r="H351">
        <v>9290.9</v>
      </c>
      <c r="I351">
        <v>9255.2000000000007</v>
      </c>
      <c r="J351">
        <v>40.4</v>
      </c>
      <c r="K351">
        <v>9207.2000000000007</v>
      </c>
      <c r="L351">
        <v>99.099118489999995</v>
      </c>
      <c r="M351">
        <v>83.7</v>
      </c>
      <c r="N351">
        <v>0.90088150769999997</v>
      </c>
    </row>
    <row r="352" spans="1:14" x14ac:dyDescent="0.35">
      <c r="A352" t="s">
        <v>431</v>
      </c>
      <c r="B352" t="s">
        <v>15</v>
      </c>
      <c r="C352" t="s">
        <v>22</v>
      </c>
      <c r="D352" t="s">
        <v>17</v>
      </c>
      <c r="E352" t="s">
        <v>99</v>
      </c>
      <c r="F352" t="s">
        <v>19</v>
      </c>
      <c r="G352">
        <v>2007</v>
      </c>
      <c r="H352">
        <v>9213.5</v>
      </c>
      <c r="I352">
        <v>9212.7000000000007</v>
      </c>
      <c r="J352">
        <v>8.3000000000000007</v>
      </c>
      <c r="K352">
        <v>7646.2</v>
      </c>
      <c r="L352">
        <v>82.98909209</v>
      </c>
      <c r="M352">
        <v>1567.3</v>
      </c>
      <c r="N352">
        <v>17.01090791</v>
      </c>
    </row>
    <row r="353" spans="1:14" x14ac:dyDescent="0.35">
      <c r="A353" t="s">
        <v>432</v>
      </c>
      <c r="B353" t="s">
        <v>15</v>
      </c>
      <c r="C353" t="s">
        <v>34</v>
      </c>
      <c r="D353" t="s">
        <v>17</v>
      </c>
      <c r="E353" t="s">
        <v>52</v>
      </c>
      <c r="F353" t="s">
        <v>49</v>
      </c>
      <c r="G353">
        <v>1999</v>
      </c>
      <c r="H353">
        <v>9212.4</v>
      </c>
      <c r="I353">
        <v>7752.7</v>
      </c>
      <c r="J353">
        <v>1460.8</v>
      </c>
      <c r="K353">
        <v>9165</v>
      </c>
      <c r="L353">
        <v>99.4854761</v>
      </c>
      <c r="M353">
        <v>47.4</v>
      </c>
      <c r="N353">
        <v>0.51452390260000003</v>
      </c>
    </row>
    <row r="354" spans="1:14" x14ac:dyDescent="0.35">
      <c r="A354" t="s">
        <v>433</v>
      </c>
      <c r="B354" t="s">
        <v>15</v>
      </c>
      <c r="C354" t="s">
        <v>34</v>
      </c>
      <c r="D354" t="s">
        <v>17</v>
      </c>
      <c r="E354" t="s">
        <v>61</v>
      </c>
      <c r="F354" t="s">
        <v>19</v>
      </c>
      <c r="G354">
        <v>2015</v>
      </c>
      <c r="H354">
        <v>9206.7000000000007</v>
      </c>
      <c r="I354">
        <v>7645.1</v>
      </c>
      <c r="J354">
        <v>1564.1</v>
      </c>
      <c r="K354">
        <v>36.4</v>
      </c>
      <c r="L354">
        <v>0.3953642456</v>
      </c>
      <c r="M354">
        <v>9170.2999999999993</v>
      </c>
      <c r="N354">
        <v>99.60463575</v>
      </c>
    </row>
    <row r="355" spans="1:14" x14ac:dyDescent="0.35">
      <c r="A355" t="s">
        <v>434</v>
      </c>
      <c r="B355" t="s">
        <v>15</v>
      </c>
      <c r="C355" t="s">
        <v>22</v>
      </c>
      <c r="D355" t="s">
        <v>17</v>
      </c>
      <c r="E355" t="s">
        <v>23</v>
      </c>
      <c r="F355" t="s">
        <v>19</v>
      </c>
      <c r="G355">
        <v>2019</v>
      </c>
      <c r="H355">
        <v>9177.5</v>
      </c>
      <c r="I355">
        <v>7949</v>
      </c>
      <c r="J355">
        <v>1236.7</v>
      </c>
      <c r="K355">
        <v>7238.3</v>
      </c>
      <c r="L355">
        <v>78.870062649999994</v>
      </c>
      <c r="M355">
        <v>1939.2</v>
      </c>
      <c r="N355">
        <v>21.129937349999999</v>
      </c>
    </row>
    <row r="356" spans="1:14" x14ac:dyDescent="0.35">
      <c r="A356" t="s">
        <v>435</v>
      </c>
      <c r="B356" t="s">
        <v>15</v>
      </c>
      <c r="C356" t="s">
        <v>43</v>
      </c>
      <c r="D356" t="s">
        <v>25</v>
      </c>
      <c r="E356" t="s">
        <v>83</v>
      </c>
      <c r="F356" t="s">
        <v>19</v>
      </c>
      <c r="G356">
        <v>1988</v>
      </c>
      <c r="H356">
        <v>9121.6</v>
      </c>
      <c r="I356">
        <v>4954.8</v>
      </c>
      <c r="J356">
        <v>4166.8</v>
      </c>
      <c r="K356">
        <v>4039.5</v>
      </c>
      <c r="L356">
        <v>44.28499386</v>
      </c>
      <c r="M356">
        <v>5082.1000000000004</v>
      </c>
      <c r="N356">
        <v>55.71500614</v>
      </c>
    </row>
    <row r="357" spans="1:14" x14ac:dyDescent="0.35">
      <c r="A357" t="s">
        <v>436</v>
      </c>
      <c r="B357" t="s">
        <v>21</v>
      </c>
      <c r="C357" t="s">
        <v>22</v>
      </c>
      <c r="D357" t="s">
        <v>17</v>
      </c>
      <c r="E357" t="s">
        <v>23</v>
      </c>
      <c r="F357" t="s">
        <v>19</v>
      </c>
      <c r="G357">
        <v>1999</v>
      </c>
      <c r="H357">
        <v>9115.7000000000007</v>
      </c>
      <c r="I357">
        <v>7543</v>
      </c>
      <c r="J357">
        <v>1578.6</v>
      </c>
      <c r="K357">
        <v>2706.2</v>
      </c>
      <c r="L357">
        <v>29.68724289</v>
      </c>
      <c r="M357">
        <v>6409.5</v>
      </c>
      <c r="N357">
        <v>70.312757110000007</v>
      </c>
    </row>
    <row r="358" spans="1:14" x14ac:dyDescent="0.35">
      <c r="A358" t="s">
        <v>437</v>
      </c>
      <c r="B358" t="s">
        <v>15</v>
      </c>
      <c r="C358" t="s">
        <v>90</v>
      </c>
      <c r="D358" t="s">
        <v>25</v>
      </c>
      <c r="E358" t="s">
        <v>18</v>
      </c>
      <c r="F358" t="s">
        <v>49</v>
      </c>
      <c r="G358">
        <v>2002</v>
      </c>
      <c r="H358">
        <v>9107.5</v>
      </c>
      <c r="I358">
        <v>8630.9</v>
      </c>
      <c r="J358">
        <v>487.3</v>
      </c>
      <c r="K358">
        <v>5817.4</v>
      </c>
      <c r="L358">
        <v>63.874828440000002</v>
      </c>
      <c r="M358">
        <v>3290.1</v>
      </c>
      <c r="N358">
        <v>36.125171559999998</v>
      </c>
    </row>
    <row r="359" spans="1:14" x14ac:dyDescent="0.35">
      <c r="A359" t="s">
        <v>438</v>
      </c>
      <c r="B359" t="s">
        <v>15</v>
      </c>
      <c r="C359" t="s">
        <v>22</v>
      </c>
      <c r="D359" t="s">
        <v>17</v>
      </c>
      <c r="E359" t="s">
        <v>18</v>
      </c>
      <c r="F359" t="s">
        <v>19</v>
      </c>
      <c r="G359">
        <v>2001</v>
      </c>
      <c r="H359">
        <v>9084.9</v>
      </c>
      <c r="I359">
        <v>4560.6000000000004</v>
      </c>
      <c r="J359">
        <v>4524.3</v>
      </c>
      <c r="K359">
        <v>1805.2</v>
      </c>
      <c r="L359">
        <v>19.870334289999999</v>
      </c>
      <c r="M359">
        <v>7279.7</v>
      </c>
      <c r="N359">
        <v>80.129665709999998</v>
      </c>
    </row>
    <row r="360" spans="1:14" x14ac:dyDescent="0.35">
      <c r="A360" t="s">
        <v>439</v>
      </c>
      <c r="B360" t="s">
        <v>15</v>
      </c>
      <c r="C360" t="s">
        <v>90</v>
      </c>
      <c r="D360" t="s">
        <v>25</v>
      </c>
      <c r="E360" t="s">
        <v>91</v>
      </c>
      <c r="F360" t="s">
        <v>19</v>
      </c>
      <c r="G360">
        <v>2015</v>
      </c>
      <c r="H360">
        <v>9076.4</v>
      </c>
      <c r="I360">
        <v>3472</v>
      </c>
      <c r="J360">
        <v>5604.3</v>
      </c>
      <c r="K360">
        <v>752.1</v>
      </c>
      <c r="L360">
        <v>8.2863249749999994</v>
      </c>
      <c r="M360">
        <v>8324.2999999999993</v>
      </c>
      <c r="N360">
        <v>91.713675030000005</v>
      </c>
    </row>
    <row r="361" spans="1:14" x14ac:dyDescent="0.35">
      <c r="A361" t="s">
        <v>440</v>
      </c>
      <c r="B361" t="s">
        <v>15</v>
      </c>
      <c r="C361" t="s">
        <v>441</v>
      </c>
      <c r="D361" t="s">
        <v>25</v>
      </c>
      <c r="E361" t="s">
        <v>83</v>
      </c>
      <c r="F361" t="s">
        <v>19</v>
      </c>
      <c r="G361">
        <v>2008</v>
      </c>
      <c r="H361">
        <v>9056.5</v>
      </c>
      <c r="I361">
        <v>5112.2</v>
      </c>
      <c r="J361">
        <v>3944.3</v>
      </c>
      <c r="K361">
        <v>561.5</v>
      </c>
      <c r="L361">
        <v>6.1999668750000003</v>
      </c>
      <c r="M361">
        <v>8495</v>
      </c>
      <c r="N361">
        <v>93.800033130000003</v>
      </c>
    </row>
    <row r="362" spans="1:14" x14ac:dyDescent="0.35">
      <c r="A362" t="s">
        <v>442</v>
      </c>
      <c r="B362" t="s">
        <v>21</v>
      </c>
      <c r="C362" t="s">
        <v>72</v>
      </c>
      <c r="D362" t="s">
        <v>73</v>
      </c>
      <c r="E362" t="s">
        <v>74</v>
      </c>
      <c r="F362" t="s">
        <v>19</v>
      </c>
      <c r="G362">
        <v>1980</v>
      </c>
      <c r="H362">
        <v>8988.2000000000007</v>
      </c>
      <c r="I362">
        <v>2897.2</v>
      </c>
      <c r="J362">
        <v>6102.8</v>
      </c>
      <c r="K362">
        <v>551.1</v>
      </c>
      <c r="L362">
        <v>6.1313722439999996</v>
      </c>
      <c r="M362">
        <v>8437.1</v>
      </c>
      <c r="N362">
        <v>93.868627759999995</v>
      </c>
    </row>
    <row r="363" spans="1:14" x14ac:dyDescent="0.35">
      <c r="A363" t="s">
        <v>443</v>
      </c>
      <c r="B363" t="s">
        <v>15</v>
      </c>
      <c r="C363" t="s">
        <v>43</v>
      </c>
      <c r="D363" t="s">
        <v>25</v>
      </c>
      <c r="E363" t="s">
        <v>26</v>
      </c>
      <c r="F363" t="s">
        <v>19</v>
      </c>
      <c r="G363">
        <v>2018</v>
      </c>
      <c r="H363">
        <v>8965</v>
      </c>
      <c r="I363">
        <v>6387.9</v>
      </c>
      <c r="J363">
        <v>2587.4</v>
      </c>
      <c r="K363">
        <v>1238.0999999999999</v>
      </c>
      <c r="L363">
        <v>13.81037368</v>
      </c>
      <c r="M363">
        <v>7726.9</v>
      </c>
      <c r="N363">
        <v>86.189626320000002</v>
      </c>
    </row>
    <row r="364" spans="1:14" x14ac:dyDescent="0.35">
      <c r="A364" t="s">
        <v>444</v>
      </c>
      <c r="B364" t="s">
        <v>21</v>
      </c>
      <c r="C364" t="s">
        <v>441</v>
      </c>
      <c r="D364" t="s">
        <v>25</v>
      </c>
      <c r="E364" t="s">
        <v>26</v>
      </c>
      <c r="F364" t="s">
        <v>19</v>
      </c>
      <c r="G364">
        <v>2010</v>
      </c>
      <c r="H364">
        <v>8960.1</v>
      </c>
      <c r="I364">
        <v>3564</v>
      </c>
      <c r="J364">
        <v>5398.2</v>
      </c>
      <c r="K364">
        <v>687.9</v>
      </c>
      <c r="L364">
        <v>7.6773696720000002</v>
      </c>
      <c r="M364">
        <v>8272.2000000000007</v>
      </c>
      <c r="N364">
        <v>92.322630329999996</v>
      </c>
    </row>
    <row r="365" spans="1:14" x14ac:dyDescent="0.35">
      <c r="A365" t="s">
        <v>445</v>
      </c>
      <c r="B365" t="s">
        <v>15</v>
      </c>
      <c r="C365" t="s">
        <v>22</v>
      </c>
      <c r="D365" t="s">
        <v>17</v>
      </c>
      <c r="E365" t="s">
        <v>52</v>
      </c>
      <c r="F365" t="s">
        <v>19</v>
      </c>
      <c r="G365">
        <v>1973</v>
      </c>
      <c r="H365">
        <v>8927.6</v>
      </c>
      <c r="I365">
        <v>8741.2000000000007</v>
      </c>
      <c r="J365">
        <v>189.7</v>
      </c>
      <c r="K365">
        <v>8713.2999999999993</v>
      </c>
      <c r="L365">
        <v>97.599578829999999</v>
      </c>
      <c r="M365">
        <v>214.3</v>
      </c>
      <c r="N365">
        <v>2.4004211660000001</v>
      </c>
    </row>
    <row r="366" spans="1:14" x14ac:dyDescent="0.35">
      <c r="A366" t="s">
        <v>446</v>
      </c>
      <c r="B366" t="s">
        <v>15</v>
      </c>
      <c r="C366" t="s">
        <v>90</v>
      </c>
      <c r="D366" t="s">
        <v>25</v>
      </c>
      <c r="E366" t="s">
        <v>91</v>
      </c>
      <c r="F366" t="s">
        <v>19</v>
      </c>
      <c r="G366">
        <v>2011</v>
      </c>
      <c r="H366">
        <v>8916</v>
      </c>
      <c r="I366">
        <v>8080</v>
      </c>
      <c r="J366">
        <v>844.9</v>
      </c>
      <c r="K366">
        <v>7975.8</v>
      </c>
      <c r="L366">
        <v>89.454912519999993</v>
      </c>
      <c r="M366">
        <v>940.2</v>
      </c>
      <c r="N366">
        <v>10.545087479999999</v>
      </c>
    </row>
    <row r="367" spans="1:14" x14ac:dyDescent="0.35">
      <c r="A367" t="s">
        <v>447</v>
      </c>
      <c r="B367" t="s">
        <v>15</v>
      </c>
      <c r="C367" t="s">
        <v>22</v>
      </c>
      <c r="D367" t="s">
        <v>17</v>
      </c>
      <c r="E367" t="s">
        <v>23</v>
      </c>
      <c r="F367" t="s">
        <v>49</v>
      </c>
      <c r="G367">
        <v>2006</v>
      </c>
      <c r="H367">
        <v>8909.9</v>
      </c>
      <c r="I367">
        <v>6844.4</v>
      </c>
      <c r="J367">
        <v>2067.6999999999998</v>
      </c>
      <c r="K367">
        <v>6517.9</v>
      </c>
      <c r="L367">
        <v>73.153458509999993</v>
      </c>
      <c r="M367">
        <v>2392</v>
      </c>
      <c r="N367">
        <v>26.84654149</v>
      </c>
    </row>
    <row r="368" spans="1:14" x14ac:dyDescent="0.35">
      <c r="A368" t="s">
        <v>448</v>
      </c>
      <c r="B368" t="s">
        <v>15</v>
      </c>
      <c r="C368" t="s">
        <v>129</v>
      </c>
      <c r="D368" t="s">
        <v>130</v>
      </c>
      <c r="E368" t="s">
        <v>140</v>
      </c>
      <c r="F368" t="s">
        <v>19</v>
      </c>
      <c r="G368">
        <v>1977</v>
      </c>
      <c r="H368">
        <v>8906.9</v>
      </c>
      <c r="I368">
        <v>8155.5</v>
      </c>
      <c r="J368">
        <v>751.4</v>
      </c>
      <c r="K368">
        <v>5041.5</v>
      </c>
      <c r="L368">
        <v>56.602184819999998</v>
      </c>
      <c r="M368">
        <v>3865.4</v>
      </c>
      <c r="N368">
        <v>43.397815180000002</v>
      </c>
    </row>
    <row r="369" spans="1:14" x14ac:dyDescent="0.35">
      <c r="A369" t="s">
        <v>449</v>
      </c>
      <c r="B369" t="s">
        <v>21</v>
      </c>
      <c r="C369" t="s">
        <v>22</v>
      </c>
      <c r="D369" t="s">
        <v>17</v>
      </c>
      <c r="E369" t="s">
        <v>23</v>
      </c>
      <c r="F369" t="s">
        <v>19</v>
      </c>
      <c r="G369">
        <v>2010</v>
      </c>
      <c r="H369">
        <v>8899.6</v>
      </c>
      <c r="I369">
        <v>4219.1000000000004</v>
      </c>
      <c r="J369">
        <v>4681.7</v>
      </c>
      <c r="K369">
        <v>2876.3</v>
      </c>
      <c r="L369">
        <v>32.319430089999997</v>
      </c>
      <c r="M369">
        <v>6023.3</v>
      </c>
      <c r="N369">
        <v>67.680569910000003</v>
      </c>
    </row>
    <row r="370" spans="1:14" x14ac:dyDescent="0.35">
      <c r="A370" t="s">
        <v>450</v>
      </c>
      <c r="B370" t="s">
        <v>15</v>
      </c>
      <c r="C370" t="s">
        <v>22</v>
      </c>
      <c r="D370" t="s">
        <v>17</v>
      </c>
      <c r="E370" t="s">
        <v>292</v>
      </c>
      <c r="F370" t="s">
        <v>49</v>
      </c>
      <c r="G370">
        <v>1995</v>
      </c>
      <c r="H370">
        <v>8848.2999999999993</v>
      </c>
      <c r="I370">
        <v>8855.1</v>
      </c>
      <c r="J370">
        <v>0</v>
      </c>
      <c r="K370">
        <v>8823.4</v>
      </c>
      <c r="L370">
        <v>99.71859001</v>
      </c>
      <c r="M370">
        <v>24.9</v>
      </c>
      <c r="N370">
        <v>0.28140998839999998</v>
      </c>
    </row>
    <row r="371" spans="1:14" x14ac:dyDescent="0.35">
      <c r="A371" t="s">
        <v>451</v>
      </c>
      <c r="B371" t="s">
        <v>21</v>
      </c>
      <c r="C371" t="s">
        <v>22</v>
      </c>
      <c r="D371" t="s">
        <v>17</v>
      </c>
      <c r="E371" t="s">
        <v>23</v>
      </c>
      <c r="F371" t="s">
        <v>19</v>
      </c>
      <c r="G371">
        <v>2012</v>
      </c>
      <c r="H371">
        <v>8831</v>
      </c>
      <c r="I371">
        <v>6995.1</v>
      </c>
      <c r="J371">
        <v>1840.3</v>
      </c>
      <c r="K371">
        <v>6603.2</v>
      </c>
      <c r="L371">
        <v>74.772958889999998</v>
      </c>
      <c r="M371">
        <v>2227.8000000000002</v>
      </c>
      <c r="N371">
        <v>25.227041109999998</v>
      </c>
    </row>
    <row r="372" spans="1:14" x14ac:dyDescent="0.35">
      <c r="A372" t="s">
        <v>452</v>
      </c>
      <c r="B372" t="s">
        <v>21</v>
      </c>
      <c r="C372" t="s">
        <v>22</v>
      </c>
      <c r="D372" t="s">
        <v>17</v>
      </c>
      <c r="E372" t="s">
        <v>28</v>
      </c>
      <c r="F372" t="s">
        <v>19</v>
      </c>
      <c r="G372">
        <v>1985</v>
      </c>
      <c r="H372">
        <v>8828.7999999999993</v>
      </c>
      <c r="I372">
        <v>7564.4</v>
      </c>
      <c r="J372">
        <v>1267.8</v>
      </c>
      <c r="K372">
        <v>6762.6</v>
      </c>
      <c r="L372">
        <v>76.597046030000001</v>
      </c>
      <c r="M372">
        <v>2066.1999999999998</v>
      </c>
      <c r="N372">
        <v>23.402953969999999</v>
      </c>
    </row>
    <row r="373" spans="1:14" x14ac:dyDescent="0.35">
      <c r="A373" t="s">
        <v>453</v>
      </c>
      <c r="B373" t="s">
        <v>21</v>
      </c>
      <c r="C373" t="s">
        <v>148</v>
      </c>
      <c r="D373" t="s">
        <v>17</v>
      </c>
      <c r="E373" t="s">
        <v>23</v>
      </c>
      <c r="F373" t="s">
        <v>19</v>
      </c>
      <c r="G373">
        <v>2006</v>
      </c>
      <c r="H373">
        <v>8809.4</v>
      </c>
      <c r="I373">
        <v>5689.4</v>
      </c>
      <c r="J373">
        <v>3122.8</v>
      </c>
      <c r="K373">
        <v>4223.1000000000004</v>
      </c>
      <c r="L373">
        <v>47.938565619999999</v>
      </c>
      <c r="M373">
        <v>4586.3</v>
      </c>
      <c r="N373">
        <v>52.061434380000001</v>
      </c>
    </row>
    <row r="374" spans="1:14" x14ac:dyDescent="0.35">
      <c r="A374" t="s">
        <v>454</v>
      </c>
      <c r="B374" t="s">
        <v>15</v>
      </c>
      <c r="C374" t="s">
        <v>22</v>
      </c>
      <c r="D374" t="s">
        <v>25</v>
      </c>
      <c r="E374" t="s">
        <v>26</v>
      </c>
      <c r="F374" t="s">
        <v>19</v>
      </c>
      <c r="G374">
        <v>2010</v>
      </c>
      <c r="H374">
        <v>8801.6</v>
      </c>
      <c r="I374">
        <v>1220.5999999999999</v>
      </c>
      <c r="J374">
        <v>7581</v>
      </c>
      <c r="K374">
        <v>0</v>
      </c>
      <c r="L374">
        <v>0</v>
      </c>
      <c r="M374">
        <v>8801.6</v>
      </c>
      <c r="N374">
        <v>100</v>
      </c>
    </row>
    <row r="375" spans="1:14" x14ac:dyDescent="0.35">
      <c r="A375" t="s">
        <v>455</v>
      </c>
      <c r="B375" t="s">
        <v>21</v>
      </c>
      <c r="C375" t="s">
        <v>34</v>
      </c>
      <c r="D375" t="s">
        <v>17</v>
      </c>
      <c r="E375" t="s">
        <v>456</v>
      </c>
      <c r="F375" t="s">
        <v>19</v>
      </c>
      <c r="G375">
        <v>2003</v>
      </c>
      <c r="H375">
        <v>8780.4</v>
      </c>
      <c r="I375">
        <v>8238.2000000000007</v>
      </c>
      <c r="J375">
        <v>547.70000000000005</v>
      </c>
      <c r="K375">
        <v>7557.9</v>
      </c>
      <c r="L375">
        <v>86.076944100000006</v>
      </c>
      <c r="M375">
        <v>1222.5</v>
      </c>
      <c r="N375">
        <v>13.9230559</v>
      </c>
    </row>
    <row r="376" spans="1:14" x14ac:dyDescent="0.35">
      <c r="A376" t="s">
        <v>457</v>
      </c>
      <c r="B376" t="s">
        <v>15</v>
      </c>
      <c r="C376" t="s">
        <v>22</v>
      </c>
      <c r="D376" t="s">
        <v>17</v>
      </c>
      <c r="E376" t="s">
        <v>23</v>
      </c>
      <c r="F376" t="s">
        <v>49</v>
      </c>
      <c r="G376">
        <v>2010</v>
      </c>
      <c r="H376">
        <v>8779.9</v>
      </c>
      <c r="I376">
        <v>7850.9</v>
      </c>
      <c r="J376">
        <v>932.8</v>
      </c>
      <c r="K376">
        <v>8155.1</v>
      </c>
      <c r="L376">
        <v>92.883745829999995</v>
      </c>
      <c r="M376">
        <v>624.79999999999995</v>
      </c>
      <c r="N376">
        <v>7.1162541709999996</v>
      </c>
    </row>
    <row r="377" spans="1:14" x14ac:dyDescent="0.35">
      <c r="A377" t="s">
        <v>458</v>
      </c>
      <c r="B377" t="s">
        <v>15</v>
      </c>
      <c r="C377" t="s">
        <v>72</v>
      </c>
      <c r="D377" t="s">
        <v>73</v>
      </c>
      <c r="E377" t="s">
        <v>74</v>
      </c>
      <c r="F377" t="s">
        <v>19</v>
      </c>
      <c r="G377">
        <v>2015</v>
      </c>
      <c r="H377">
        <v>8733</v>
      </c>
      <c r="I377">
        <v>2987.7</v>
      </c>
      <c r="J377">
        <v>5745.3</v>
      </c>
      <c r="K377">
        <v>6.8</v>
      </c>
      <c r="L377">
        <v>7.7865567390000001E-2</v>
      </c>
      <c r="M377">
        <v>8726.2000000000007</v>
      </c>
      <c r="N377">
        <v>99.92213443</v>
      </c>
    </row>
    <row r="378" spans="1:14" x14ac:dyDescent="0.35">
      <c r="A378" t="s">
        <v>459</v>
      </c>
      <c r="B378" t="s">
        <v>15</v>
      </c>
      <c r="C378" t="s">
        <v>34</v>
      </c>
      <c r="D378" t="s">
        <v>17</v>
      </c>
      <c r="E378" t="s">
        <v>18</v>
      </c>
      <c r="F378" t="s">
        <v>19</v>
      </c>
      <c r="G378">
        <v>2015</v>
      </c>
      <c r="H378">
        <v>8715.2000000000007</v>
      </c>
      <c r="I378">
        <v>7648.8</v>
      </c>
      <c r="J378">
        <v>1071.5999999999999</v>
      </c>
      <c r="K378">
        <v>2526.6999999999998</v>
      </c>
      <c r="L378">
        <v>28.991876260000002</v>
      </c>
      <c r="M378">
        <v>6188.5</v>
      </c>
      <c r="N378">
        <v>71.008123740000002</v>
      </c>
    </row>
    <row r="379" spans="1:14" x14ac:dyDescent="0.35">
      <c r="A379" t="s">
        <v>460</v>
      </c>
      <c r="B379" t="s">
        <v>21</v>
      </c>
      <c r="C379" t="s">
        <v>16</v>
      </c>
      <c r="D379" t="s">
        <v>17</v>
      </c>
      <c r="E379" t="s">
        <v>23</v>
      </c>
      <c r="F379" t="s">
        <v>19</v>
      </c>
      <c r="G379">
        <v>2002</v>
      </c>
      <c r="H379">
        <v>8706.4</v>
      </c>
      <c r="I379">
        <v>8477.2999999999993</v>
      </c>
      <c r="J379">
        <v>233</v>
      </c>
      <c r="K379">
        <v>8083.8</v>
      </c>
      <c r="L379">
        <v>92.848938709999999</v>
      </c>
      <c r="M379">
        <v>622.6</v>
      </c>
      <c r="N379">
        <v>7.1510612880000002</v>
      </c>
    </row>
    <row r="380" spans="1:14" x14ac:dyDescent="0.35">
      <c r="A380" t="s">
        <v>461</v>
      </c>
      <c r="B380" t="s">
        <v>15</v>
      </c>
      <c r="C380" t="s">
        <v>462</v>
      </c>
      <c r="D380" t="s">
        <v>17</v>
      </c>
      <c r="E380" t="s">
        <v>61</v>
      </c>
      <c r="F380" t="s">
        <v>19</v>
      </c>
      <c r="G380">
        <v>2014</v>
      </c>
      <c r="H380">
        <v>8699.2000000000007</v>
      </c>
      <c r="I380">
        <v>8316.2000000000007</v>
      </c>
      <c r="J380">
        <v>386.2</v>
      </c>
      <c r="K380">
        <v>1923.6</v>
      </c>
      <c r="L380">
        <v>22.112378150000001</v>
      </c>
      <c r="M380">
        <v>6775.6</v>
      </c>
      <c r="N380">
        <v>77.887621850000002</v>
      </c>
    </row>
    <row r="381" spans="1:14" x14ac:dyDescent="0.35">
      <c r="A381" t="s">
        <v>463</v>
      </c>
      <c r="B381" t="s">
        <v>15</v>
      </c>
      <c r="C381" t="s">
        <v>22</v>
      </c>
      <c r="D381" t="s">
        <v>17</v>
      </c>
      <c r="E381" t="s">
        <v>52</v>
      </c>
      <c r="F381" t="s">
        <v>49</v>
      </c>
      <c r="G381">
        <v>2003</v>
      </c>
      <c r="H381">
        <v>8647.7999999999993</v>
      </c>
      <c r="I381">
        <v>8598.1</v>
      </c>
      <c r="J381">
        <v>54</v>
      </c>
      <c r="K381">
        <v>8555.2000000000007</v>
      </c>
      <c r="L381">
        <v>98.929207430000005</v>
      </c>
      <c r="M381">
        <v>92.6</v>
      </c>
      <c r="N381">
        <v>1.070792572</v>
      </c>
    </row>
    <row r="382" spans="1:14" x14ac:dyDescent="0.35">
      <c r="A382" t="s">
        <v>464</v>
      </c>
      <c r="B382" t="s">
        <v>15</v>
      </c>
      <c r="C382" t="s">
        <v>90</v>
      </c>
      <c r="D382" t="s">
        <v>25</v>
      </c>
      <c r="E382" t="s">
        <v>91</v>
      </c>
      <c r="F382" t="s">
        <v>19</v>
      </c>
      <c r="G382">
        <v>1975</v>
      </c>
      <c r="H382">
        <v>8622.1</v>
      </c>
      <c r="I382">
        <v>8534</v>
      </c>
      <c r="J382">
        <v>98.1</v>
      </c>
      <c r="K382">
        <v>7271</v>
      </c>
      <c r="L382">
        <v>84.329803639999994</v>
      </c>
      <c r="M382">
        <v>1351.1</v>
      </c>
      <c r="N382">
        <v>15.67019636</v>
      </c>
    </row>
    <row r="383" spans="1:14" x14ac:dyDescent="0.35">
      <c r="A383" t="s">
        <v>465</v>
      </c>
      <c r="B383" t="s">
        <v>15</v>
      </c>
      <c r="C383" t="s">
        <v>90</v>
      </c>
      <c r="D383" t="s">
        <v>25</v>
      </c>
      <c r="E383" t="s">
        <v>83</v>
      </c>
      <c r="F383" t="s">
        <v>19</v>
      </c>
      <c r="G383">
        <v>1992</v>
      </c>
      <c r="H383">
        <v>8617.1</v>
      </c>
      <c r="I383">
        <v>7717.5</v>
      </c>
      <c r="J383">
        <v>899.6</v>
      </c>
      <c r="K383">
        <v>6368.3</v>
      </c>
      <c r="L383">
        <v>73.903053229999998</v>
      </c>
      <c r="M383">
        <v>2248.8000000000002</v>
      </c>
      <c r="N383">
        <v>26.096946769999999</v>
      </c>
    </row>
    <row r="384" spans="1:14" x14ac:dyDescent="0.35">
      <c r="A384" t="s">
        <v>466</v>
      </c>
      <c r="B384" t="s">
        <v>15</v>
      </c>
      <c r="C384" t="s">
        <v>34</v>
      </c>
      <c r="D384" t="s">
        <v>17</v>
      </c>
      <c r="E384" t="s">
        <v>58</v>
      </c>
      <c r="F384" t="s">
        <v>49</v>
      </c>
      <c r="G384">
        <v>2012</v>
      </c>
      <c r="H384">
        <v>8591.1</v>
      </c>
      <c r="I384">
        <v>8578.7000000000007</v>
      </c>
      <c r="J384">
        <v>15.4</v>
      </c>
      <c r="K384">
        <v>7995.8</v>
      </c>
      <c r="L384">
        <v>93.070735990000003</v>
      </c>
      <c r="M384">
        <v>595.29999999999995</v>
      </c>
      <c r="N384">
        <v>6.9292640060000004</v>
      </c>
    </row>
    <row r="385" spans="1:14" x14ac:dyDescent="0.35">
      <c r="A385" t="s">
        <v>467</v>
      </c>
      <c r="B385" t="s">
        <v>15</v>
      </c>
      <c r="C385" t="s">
        <v>72</v>
      </c>
      <c r="D385" t="s">
        <v>73</v>
      </c>
      <c r="E385" t="s">
        <v>74</v>
      </c>
      <c r="F385" t="s">
        <v>49</v>
      </c>
      <c r="G385">
        <v>2009</v>
      </c>
      <c r="H385">
        <v>8584.2000000000007</v>
      </c>
      <c r="I385">
        <v>6741.1</v>
      </c>
      <c r="J385">
        <v>1843.2</v>
      </c>
      <c r="K385">
        <v>20</v>
      </c>
      <c r="L385">
        <v>0.2329861839</v>
      </c>
      <c r="M385">
        <v>8564.2000000000007</v>
      </c>
      <c r="N385">
        <v>99.767013820000003</v>
      </c>
    </row>
    <row r="386" spans="1:14" x14ac:dyDescent="0.35">
      <c r="A386" t="s">
        <v>468</v>
      </c>
      <c r="B386" t="s">
        <v>15</v>
      </c>
      <c r="C386" t="s">
        <v>22</v>
      </c>
      <c r="D386" t="s">
        <v>17</v>
      </c>
      <c r="E386" t="s">
        <v>18</v>
      </c>
      <c r="F386" t="s">
        <v>19</v>
      </c>
      <c r="G386">
        <v>2014</v>
      </c>
      <c r="H386">
        <v>8564.5</v>
      </c>
      <c r="I386">
        <v>5566.1</v>
      </c>
      <c r="J386">
        <v>3001.4</v>
      </c>
      <c r="K386">
        <v>3239</v>
      </c>
      <c r="L386">
        <v>37.81890361</v>
      </c>
      <c r="M386">
        <v>5325.5</v>
      </c>
      <c r="N386">
        <v>62.18109639</v>
      </c>
    </row>
    <row r="387" spans="1:14" x14ac:dyDescent="0.35">
      <c r="A387" t="s">
        <v>469</v>
      </c>
      <c r="B387" t="s">
        <v>15</v>
      </c>
      <c r="C387" t="s">
        <v>16</v>
      </c>
      <c r="D387" t="s">
        <v>17</v>
      </c>
      <c r="E387" t="s">
        <v>18</v>
      </c>
      <c r="F387" t="s">
        <v>19</v>
      </c>
      <c r="G387">
        <v>2017</v>
      </c>
      <c r="H387">
        <v>8564.4</v>
      </c>
      <c r="I387">
        <v>5619.6</v>
      </c>
      <c r="J387">
        <v>2944.9</v>
      </c>
      <c r="K387">
        <v>1852.6</v>
      </c>
      <c r="L387">
        <v>21.631404419999999</v>
      </c>
      <c r="M387">
        <v>6711.8</v>
      </c>
      <c r="N387">
        <v>78.368595580000004</v>
      </c>
    </row>
    <row r="388" spans="1:14" x14ac:dyDescent="0.35">
      <c r="A388" t="s">
        <v>470</v>
      </c>
      <c r="B388" t="s">
        <v>15</v>
      </c>
      <c r="C388" t="s">
        <v>22</v>
      </c>
      <c r="D388" t="s">
        <v>17</v>
      </c>
      <c r="E388" t="s">
        <v>52</v>
      </c>
      <c r="F388" t="s">
        <v>19</v>
      </c>
      <c r="G388">
        <v>2001</v>
      </c>
      <c r="H388">
        <v>8551.4</v>
      </c>
      <c r="I388">
        <v>8199.2999999999993</v>
      </c>
      <c r="J388">
        <v>355</v>
      </c>
      <c r="K388">
        <v>7907.6</v>
      </c>
      <c r="L388">
        <v>92.471408190000005</v>
      </c>
      <c r="M388">
        <v>643.79999999999995</v>
      </c>
      <c r="N388">
        <v>7.52859181</v>
      </c>
    </row>
    <row r="389" spans="1:14" x14ac:dyDescent="0.35">
      <c r="A389" t="s">
        <v>471</v>
      </c>
      <c r="B389" t="s">
        <v>79</v>
      </c>
      <c r="C389" t="s">
        <v>46</v>
      </c>
      <c r="D389" t="s">
        <v>47</v>
      </c>
      <c r="E389" t="s">
        <v>48</v>
      </c>
      <c r="F389" t="s">
        <v>49</v>
      </c>
      <c r="G389">
        <v>2015</v>
      </c>
      <c r="H389">
        <v>8531.2999999999993</v>
      </c>
      <c r="I389">
        <v>8465.7000000000007</v>
      </c>
      <c r="J389">
        <v>70</v>
      </c>
      <c r="K389">
        <v>8284.9</v>
      </c>
      <c r="L389">
        <v>97.111811799999998</v>
      </c>
      <c r="M389">
        <v>246.4</v>
      </c>
      <c r="N389">
        <v>2.8881882010000002</v>
      </c>
    </row>
    <row r="390" spans="1:14" x14ac:dyDescent="0.35">
      <c r="A390" t="s">
        <v>472</v>
      </c>
      <c r="B390" t="s">
        <v>15</v>
      </c>
      <c r="C390" t="s">
        <v>205</v>
      </c>
      <c r="D390" t="s">
        <v>17</v>
      </c>
      <c r="E390" t="s">
        <v>52</v>
      </c>
      <c r="F390" t="s">
        <v>49</v>
      </c>
      <c r="G390">
        <v>2008</v>
      </c>
      <c r="H390">
        <v>8509.5</v>
      </c>
      <c r="I390">
        <v>8483.9</v>
      </c>
      <c r="J390">
        <v>29.2</v>
      </c>
      <c r="K390">
        <v>6435.4</v>
      </c>
      <c r="L390">
        <v>75.626064990000003</v>
      </c>
      <c r="M390">
        <v>2074.1</v>
      </c>
      <c r="N390">
        <v>24.37393501</v>
      </c>
    </row>
    <row r="391" spans="1:14" x14ac:dyDescent="0.35">
      <c r="A391" t="s">
        <v>473</v>
      </c>
      <c r="B391" t="s">
        <v>21</v>
      </c>
      <c r="C391" t="s">
        <v>223</v>
      </c>
      <c r="D391" t="s">
        <v>25</v>
      </c>
      <c r="E391" t="s">
        <v>23</v>
      </c>
      <c r="F391" t="s">
        <v>19</v>
      </c>
      <c r="G391">
        <v>2016</v>
      </c>
      <c r="H391">
        <v>8507.9</v>
      </c>
      <c r="I391">
        <v>5811.9</v>
      </c>
      <c r="J391">
        <v>2696</v>
      </c>
      <c r="K391">
        <v>1929.8</v>
      </c>
      <c r="L391">
        <v>22.68244808</v>
      </c>
      <c r="M391">
        <v>6578.1</v>
      </c>
      <c r="N391">
        <v>77.31755192</v>
      </c>
    </row>
    <row r="392" spans="1:14" x14ac:dyDescent="0.35">
      <c r="A392" t="s">
        <v>474</v>
      </c>
      <c r="B392" t="s">
        <v>79</v>
      </c>
      <c r="C392" t="s">
        <v>22</v>
      </c>
      <c r="D392" t="s">
        <v>17</v>
      </c>
      <c r="E392" t="s">
        <v>23</v>
      </c>
      <c r="F392" t="s">
        <v>49</v>
      </c>
      <c r="G392">
        <v>1996</v>
      </c>
      <c r="H392">
        <v>8485.9</v>
      </c>
      <c r="I392">
        <v>8144</v>
      </c>
      <c r="J392">
        <v>346</v>
      </c>
      <c r="K392">
        <v>8125.7</v>
      </c>
      <c r="L392">
        <v>95.755311750000004</v>
      </c>
      <c r="M392">
        <v>360.2</v>
      </c>
      <c r="N392">
        <v>4.2446882480000001</v>
      </c>
    </row>
    <row r="393" spans="1:14" x14ac:dyDescent="0.35">
      <c r="A393" t="s">
        <v>475</v>
      </c>
      <c r="B393" t="s">
        <v>15</v>
      </c>
      <c r="C393" t="s">
        <v>46</v>
      </c>
      <c r="D393" t="s">
        <v>47</v>
      </c>
      <c r="E393" t="s">
        <v>48</v>
      </c>
      <c r="F393" t="s">
        <v>19</v>
      </c>
      <c r="G393">
        <v>2013</v>
      </c>
      <c r="H393">
        <v>8472.9</v>
      </c>
      <c r="I393">
        <v>7819.3</v>
      </c>
      <c r="J393">
        <v>656.6</v>
      </c>
      <c r="K393">
        <v>6967.6</v>
      </c>
      <c r="L393">
        <v>82.233945869999999</v>
      </c>
      <c r="M393">
        <v>1505.3</v>
      </c>
      <c r="N393">
        <v>17.766054130000001</v>
      </c>
    </row>
    <row r="394" spans="1:14" x14ac:dyDescent="0.35">
      <c r="A394" t="s">
        <v>476</v>
      </c>
      <c r="B394" t="s">
        <v>15</v>
      </c>
      <c r="C394" t="s">
        <v>22</v>
      </c>
      <c r="D394" t="s">
        <v>25</v>
      </c>
      <c r="E394" t="s">
        <v>26</v>
      </c>
      <c r="F394" t="s">
        <v>49</v>
      </c>
      <c r="G394">
        <v>2004</v>
      </c>
      <c r="H394">
        <v>8457.4</v>
      </c>
      <c r="I394">
        <v>369.6</v>
      </c>
      <c r="J394">
        <v>8087.7</v>
      </c>
      <c r="K394">
        <v>1.3</v>
      </c>
      <c r="L394">
        <v>1.537115426E-2</v>
      </c>
      <c r="M394">
        <v>8456.1</v>
      </c>
      <c r="N394">
        <v>99.984628850000007</v>
      </c>
    </row>
    <row r="395" spans="1:14" x14ac:dyDescent="0.35">
      <c r="A395" t="s">
        <v>477</v>
      </c>
      <c r="B395" t="s">
        <v>15</v>
      </c>
      <c r="C395" t="s">
        <v>22</v>
      </c>
      <c r="D395" t="s">
        <v>17</v>
      </c>
      <c r="E395" t="s">
        <v>18</v>
      </c>
      <c r="F395" t="s">
        <v>19</v>
      </c>
      <c r="G395">
        <v>2018</v>
      </c>
      <c r="H395">
        <v>8453.7000000000007</v>
      </c>
      <c r="I395">
        <v>6568.5</v>
      </c>
      <c r="J395">
        <v>1885.2</v>
      </c>
      <c r="K395">
        <v>4039.2</v>
      </c>
      <c r="L395">
        <v>47.780261899999999</v>
      </c>
      <c r="M395">
        <v>4414.5</v>
      </c>
      <c r="N395">
        <v>52.219738100000001</v>
      </c>
    </row>
    <row r="396" spans="1:14" x14ac:dyDescent="0.35">
      <c r="A396" t="s">
        <v>478</v>
      </c>
      <c r="B396" t="s">
        <v>15</v>
      </c>
      <c r="C396" t="s">
        <v>479</v>
      </c>
      <c r="D396" t="s">
        <v>258</v>
      </c>
      <c r="E396" t="s">
        <v>18</v>
      </c>
      <c r="F396" t="s">
        <v>19</v>
      </c>
      <c r="G396">
        <v>2013</v>
      </c>
      <c r="H396">
        <v>8439.5</v>
      </c>
      <c r="I396">
        <v>6942.6</v>
      </c>
      <c r="J396">
        <v>1509.4</v>
      </c>
      <c r="K396">
        <v>3538.8</v>
      </c>
      <c r="L396">
        <v>41.931394040000001</v>
      </c>
      <c r="M396">
        <v>4900.7</v>
      </c>
      <c r="N396">
        <v>58.068605959999999</v>
      </c>
    </row>
    <row r="397" spans="1:14" x14ac:dyDescent="0.35">
      <c r="A397" t="s">
        <v>480</v>
      </c>
      <c r="B397" t="s">
        <v>15</v>
      </c>
      <c r="C397" t="s">
        <v>90</v>
      </c>
      <c r="D397" t="s">
        <v>25</v>
      </c>
      <c r="E397" t="s">
        <v>91</v>
      </c>
      <c r="F397" t="s">
        <v>49</v>
      </c>
      <c r="G397">
        <v>2010</v>
      </c>
      <c r="H397">
        <v>8433.7999999999993</v>
      </c>
      <c r="I397">
        <v>7838.5</v>
      </c>
      <c r="J397">
        <v>603.29999999999995</v>
      </c>
      <c r="K397">
        <v>7244.3</v>
      </c>
      <c r="L397">
        <v>85.896037370000002</v>
      </c>
      <c r="M397">
        <v>1189.5</v>
      </c>
      <c r="N397">
        <v>14.10396263</v>
      </c>
    </row>
    <row r="398" spans="1:14" x14ac:dyDescent="0.35">
      <c r="A398" t="s">
        <v>481</v>
      </c>
      <c r="B398" t="s">
        <v>21</v>
      </c>
      <c r="C398" t="s">
        <v>22</v>
      </c>
      <c r="D398" t="s">
        <v>17</v>
      </c>
      <c r="E398" t="s">
        <v>23</v>
      </c>
      <c r="F398" t="s">
        <v>19</v>
      </c>
      <c r="G398">
        <v>2017</v>
      </c>
      <c r="H398">
        <v>8382.9</v>
      </c>
      <c r="I398">
        <v>8387.7999999999993</v>
      </c>
      <c r="J398">
        <v>0</v>
      </c>
      <c r="K398">
        <v>8380.2999999999993</v>
      </c>
      <c r="L398">
        <v>99.968984480000003</v>
      </c>
      <c r="M398">
        <v>2.6</v>
      </c>
      <c r="N398">
        <v>3.101551969E-2</v>
      </c>
    </row>
    <row r="399" spans="1:14" x14ac:dyDescent="0.35">
      <c r="A399" t="s">
        <v>482</v>
      </c>
      <c r="B399" t="s">
        <v>15</v>
      </c>
      <c r="C399" t="s">
        <v>22</v>
      </c>
      <c r="D399" t="s">
        <v>17</v>
      </c>
      <c r="E399" t="s">
        <v>456</v>
      </c>
      <c r="F399" t="s">
        <v>19</v>
      </c>
      <c r="G399">
        <v>1962</v>
      </c>
      <c r="H399">
        <v>8371.5</v>
      </c>
      <c r="I399">
        <v>7723.5</v>
      </c>
      <c r="J399">
        <v>648</v>
      </c>
      <c r="K399">
        <v>7485.7</v>
      </c>
      <c r="L399">
        <v>89.418861609999993</v>
      </c>
      <c r="M399">
        <v>885.8</v>
      </c>
      <c r="N399">
        <v>10.58113839</v>
      </c>
    </row>
    <row r="400" spans="1:14" x14ac:dyDescent="0.35">
      <c r="A400" t="s">
        <v>483</v>
      </c>
      <c r="B400" t="s">
        <v>15</v>
      </c>
      <c r="C400" t="s">
        <v>22</v>
      </c>
      <c r="D400" t="s">
        <v>17</v>
      </c>
      <c r="E400" t="s">
        <v>18</v>
      </c>
      <c r="F400" t="s">
        <v>19</v>
      </c>
      <c r="G400">
        <v>1991</v>
      </c>
      <c r="H400">
        <v>8370.9</v>
      </c>
      <c r="I400">
        <v>1884.2</v>
      </c>
      <c r="J400">
        <v>6486.7</v>
      </c>
      <c r="K400">
        <v>175.8</v>
      </c>
      <c r="L400">
        <v>2.100132602</v>
      </c>
      <c r="M400">
        <v>8195.1</v>
      </c>
      <c r="N400">
        <v>97.899867400000005</v>
      </c>
    </row>
    <row r="401" spans="1:14" x14ac:dyDescent="0.35">
      <c r="A401" t="s">
        <v>484</v>
      </c>
      <c r="B401" t="s">
        <v>15</v>
      </c>
      <c r="C401" t="s">
        <v>34</v>
      </c>
      <c r="D401" t="s">
        <v>17</v>
      </c>
      <c r="E401" t="s">
        <v>23</v>
      </c>
      <c r="F401" t="s">
        <v>19</v>
      </c>
      <c r="G401">
        <v>2003</v>
      </c>
      <c r="H401">
        <v>8366.2999999999993</v>
      </c>
      <c r="I401">
        <v>6159.1</v>
      </c>
      <c r="J401">
        <v>2210.1</v>
      </c>
      <c r="K401">
        <v>10.3</v>
      </c>
      <c r="L401">
        <v>0.1231129651</v>
      </c>
      <c r="M401">
        <v>8356</v>
      </c>
      <c r="N401">
        <v>99.876887030000006</v>
      </c>
    </row>
    <row r="402" spans="1:14" x14ac:dyDescent="0.35">
      <c r="A402" t="s">
        <v>485</v>
      </c>
      <c r="B402" t="s">
        <v>21</v>
      </c>
      <c r="C402" t="s">
        <v>22</v>
      </c>
      <c r="D402" t="s">
        <v>17</v>
      </c>
      <c r="E402" t="s">
        <v>23</v>
      </c>
      <c r="F402" t="s">
        <v>19</v>
      </c>
      <c r="G402">
        <v>2002</v>
      </c>
      <c r="H402">
        <v>8339.2999999999993</v>
      </c>
      <c r="I402">
        <v>7864.3</v>
      </c>
      <c r="J402">
        <v>477.4</v>
      </c>
      <c r="K402">
        <v>7297.4</v>
      </c>
      <c r="L402">
        <v>87.506145599999996</v>
      </c>
      <c r="M402">
        <v>1041.9000000000001</v>
      </c>
      <c r="N402">
        <v>12.4938544</v>
      </c>
    </row>
    <row r="403" spans="1:14" x14ac:dyDescent="0.35">
      <c r="A403" t="s">
        <v>486</v>
      </c>
      <c r="B403" t="s">
        <v>15</v>
      </c>
      <c r="C403" t="s">
        <v>22</v>
      </c>
      <c r="D403" t="s">
        <v>17</v>
      </c>
      <c r="E403" t="s">
        <v>52</v>
      </c>
      <c r="F403" t="s">
        <v>49</v>
      </c>
      <c r="G403">
        <v>1989</v>
      </c>
      <c r="H403">
        <v>8330.4</v>
      </c>
      <c r="I403">
        <v>8328.6</v>
      </c>
      <c r="J403">
        <v>5.6</v>
      </c>
      <c r="K403">
        <v>8188.5</v>
      </c>
      <c r="L403">
        <v>98.296600400000003</v>
      </c>
      <c r="M403">
        <v>141.9</v>
      </c>
      <c r="N403">
        <v>1.703399597</v>
      </c>
    </row>
    <row r="404" spans="1:14" x14ac:dyDescent="0.35">
      <c r="A404" t="s">
        <v>487</v>
      </c>
      <c r="B404" t="s">
        <v>15</v>
      </c>
      <c r="C404" t="s">
        <v>129</v>
      </c>
      <c r="D404" t="s">
        <v>130</v>
      </c>
      <c r="E404" t="s">
        <v>18</v>
      </c>
      <c r="F404" t="s">
        <v>19</v>
      </c>
      <c r="G404">
        <v>2006</v>
      </c>
      <c r="H404">
        <v>8326.7000000000007</v>
      </c>
      <c r="I404">
        <v>4696.3999999999996</v>
      </c>
      <c r="J404">
        <v>3630.4</v>
      </c>
      <c r="K404">
        <v>1125.8</v>
      </c>
      <c r="L404">
        <v>13.52036221</v>
      </c>
      <c r="M404">
        <v>7200.9</v>
      </c>
      <c r="N404">
        <v>86.479637789999998</v>
      </c>
    </row>
    <row r="405" spans="1:14" x14ac:dyDescent="0.35">
      <c r="A405" t="s">
        <v>488</v>
      </c>
      <c r="B405" t="s">
        <v>21</v>
      </c>
      <c r="C405" t="s">
        <v>129</v>
      </c>
      <c r="D405" t="s">
        <v>130</v>
      </c>
      <c r="E405" t="s">
        <v>489</v>
      </c>
      <c r="F405" t="s">
        <v>19</v>
      </c>
      <c r="G405">
        <v>1980</v>
      </c>
      <c r="H405">
        <v>8316.5</v>
      </c>
      <c r="I405">
        <v>8317.7999999999993</v>
      </c>
      <c r="J405">
        <v>0</v>
      </c>
      <c r="K405">
        <v>8289</v>
      </c>
      <c r="L405">
        <v>99.669332049999994</v>
      </c>
      <c r="M405">
        <v>27.5</v>
      </c>
      <c r="N405">
        <v>0.33066794929999999</v>
      </c>
    </row>
    <row r="406" spans="1:14" x14ac:dyDescent="0.35">
      <c r="A406" t="s">
        <v>490</v>
      </c>
      <c r="B406" t="s">
        <v>15</v>
      </c>
      <c r="C406" t="s">
        <v>223</v>
      </c>
      <c r="D406" t="s">
        <v>25</v>
      </c>
      <c r="E406" t="s">
        <v>18</v>
      </c>
      <c r="F406" t="s">
        <v>19</v>
      </c>
      <c r="G406">
        <v>2021</v>
      </c>
      <c r="H406">
        <v>8309.1</v>
      </c>
      <c r="I406">
        <v>5592</v>
      </c>
      <c r="J406">
        <v>2724.4</v>
      </c>
      <c r="K406">
        <v>3545.8</v>
      </c>
      <c r="L406">
        <v>42.673695109999997</v>
      </c>
      <c r="M406">
        <v>4763.3</v>
      </c>
      <c r="N406">
        <v>57.326304890000003</v>
      </c>
    </row>
    <row r="407" spans="1:14" x14ac:dyDescent="0.35">
      <c r="A407" t="s">
        <v>491</v>
      </c>
      <c r="B407" t="s">
        <v>15</v>
      </c>
      <c r="C407" t="s">
        <v>22</v>
      </c>
      <c r="D407" t="s">
        <v>25</v>
      </c>
      <c r="E407" t="s">
        <v>26</v>
      </c>
      <c r="F407" t="s">
        <v>19</v>
      </c>
      <c r="G407">
        <v>2019</v>
      </c>
      <c r="H407">
        <v>8282.2999999999993</v>
      </c>
      <c r="I407">
        <v>6707</v>
      </c>
      <c r="J407">
        <v>1607.4</v>
      </c>
      <c r="K407">
        <v>999.5</v>
      </c>
      <c r="L407">
        <v>12.06790384</v>
      </c>
      <c r="M407">
        <v>7282.8</v>
      </c>
      <c r="N407">
        <v>87.93209616</v>
      </c>
    </row>
    <row r="408" spans="1:14" x14ac:dyDescent="0.35">
      <c r="A408" t="s">
        <v>492</v>
      </c>
      <c r="B408" t="s">
        <v>15</v>
      </c>
      <c r="C408" t="s">
        <v>129</v>
      </c>
      <c r="D408" t="s">
        <v>17</v>
      </c>
      <c r="E408" t="s">
        <v>61</v>
      </c>
      <c r="F408" t="s">
        <v>19</v>
      </c>
      <c r="G408">
        <v>2013</v>
      </c>
      <c r="H408">
        <v>8278.7000000000007</v>
      </c>
      <c r="I408">
        <v>4898.7</v>
      </c>
      <c r="J408">
        <v>3389.6</v>
      </c>
      <c r="K408">
        <v>53.5</v>
      </c>
      <c r="L408">
        <v>0.64623672799999998</v>
      </c>
      <c r="M408">
        <v>8225.2000000000007</v>
      </c>
      <c r="N408">
        <v>99.353763270000002</v>
      </c>
    </row>
    <row r="409" spans="1:14" x14ac:dyDescent="0.35">
      <c r="A409" t="s">
        <v>493</v>
      </c>
      <c r="B409" t="s">
        <v>15</v>
      </c>
      <c r="C409" t="s">
        <v>205</v>
      </c>
      <c r="D409" t="s">
        <v>17</v>
      </c>
      <c r="E409" t="s">
        <v>23</v>
      </c>
      <c r="F409" t="s">
        <v>19</v>
      </c>
      <c r="G409">
        <v>2010</v>
      </c>
      <c r="H409">
        <v>8263</v>
      </c>
      <c r="I409">
        <v>3585.1</v>
      </c>
      <c r="J409">
        <v>4693.6000000000004</v>
      </c>
      <c r="K409">
        <v>6241</v>
      </c>
      <c r="L409">
        <v>75.529468719999997</v>
      </c>
      <c r="M409">
        <v>2022</v>
      </c>
      <c r="N409">
        <v>24.470531279999999</v>
      </c>
    </row>
    <row r="410" spans="1:14" x14ac:dyDescent="0.35">
      <c r="A410" t="s">
        <v>494</v>
      </c>
      <c r="B410" t="s">
        <v>15</v>
      </c>
      <c r="C410" t="s">
        <v>22</v>
      </c>
      <c r="D410" t="s">
        <v>17</v>
      </c>
      <c r="E410" t="s">
        <v>18</v>
      </c>
      <c r="F410" t="s">
        <v>19</v>
      </c>
      <c r="G410">
        <v>2017</v>
      </c>
      <c r="H410">
        <v>8240.2000000000007</v>
      </c>
      <c r="I410">
        <v>6845.4</v>
      </c>
      <c r="J410">
        <v>1394.8</v>
      </c>
      <c r="K410">
        <v>2320.6999999999998</v>
      </c>
      <c r="L410">
        <v>28.163151379999999</v>
      </c>
      <c r="M410">
        <v>5919.5</v>
      </c>
      <c r="N410">
        <v>71.836848619999998</v>
      </c>
    </row>
    <row r="411" spans="1:14" x14ac:dyDescent="0.35">
      <c r="A411" t="s">
        <v>495</v>
      </c>
      <c r="B411" t="s">
        <v>15</v>
      </c>
      <c r="C411" t="s">
        <v>22</v>
      </c>
      <c r="D411" t="s">
        <v>17</v>
      </c>
      <c r="E411" t="s">
        <v>18</v>
      </c>
      <c r="F411" t="s">
        <v>19</v>
      </c>
      <c r="G411">
        <v>1992</v>
      </c>
      <c r="H411">
        <v>8235.9</v>
      </c>
      <c r="I411">
        <v>1236.7</v>
      </c>
      <c r="J411">
        <v>6999.2</v>
      </c>
      <c r="K411">
        <v>228.2</v>
      </c>
      <c r="L411">
        <v>2.7707961490000002</v>
      </c>
      <c r="M411">
        <v>8007.7</v>
      </c>
      <c r="N411">
        <v>97.229203850000005</v>
      </c>
    </row>
    <row r="412" spans="1:14" x14ac:dyDescent="0.35">
      <c r="A412" t="s">
        <v>496</v>
      </c>
      <c r="B412" t="s">
        <v>15</v>
      </c>
      <c r="C412" t="s">
        <v>22</v>
      </c>
      <c r="D412" t="s">
        <v>25</v>
      </c>
      <c r="E412" t="s">
        <v>26</v>
      </c>
      <c r="F412" t="s">
        <v>19</v>
      </c>
      <c r="G412">
        <v>2014</v>
      </c>
      <c r="H412">
        <v>8216.5</v>
      </c>
      <c r="I412">
        <v>760.9</v>
      </c>
      <c r="J412">
        <v>7455.6</v>
      </c>
      <c r="K412">
        <v>196.8</v>
      </c>
      <c r="L412">
        <v>2.3951804299999999</v>
      </c>
      <c r="M412">
        <v>8019.7</v>
      </c>
      <c r="N412">
        <v>97.604819570000004</v>
      </c>
    </row>
    <row r="413" spans="1:14" x14ac:dyDescent="0.35">
      <c r="A413" t="s">
        <v>497</v>
      </c>
      <c r="B413" t="s">
        <v>15</v>
      </c>
      <c r="C413" t="s">
        <v>90</v>
      </c>
      <c r="D413" t="s">
        <v>25</v>
      </c>
      <c r="E413" t="s">
        <v>91</v>
      </c>
      <c r="F413" t="s">
        <v>19</v>
      </c>
      <c r="G413">
        <v>1966</v>
      </c>
      <c r="H413">
        <v>8205.4</v>
      </c>
      <c r="I413">
        <v>8009</v>
      </c>
      <c r="J413">
        <v>204.5</v>
      </c>
      <c r="K413">
        <v>7878.1</v>
      </c>
      <c r="L413">
        <v>96.011163379999999</v>
      </c>
      <c r="M413">
        <v>327.3</v>
      </c>
      <c r="N413">
        <v>3.9888366199999998</v>
      </c>
    </row>
    <row r="414" spans="1:14" x14ac:dyDescent="0.35">
      <c r="A414" t="s">
        <v>498</v>
      </c>
      <c r="B414" t="s">
        <v>15</v>
      </c>
      <c r="C414" t="s">
        <v>16</v>
      </c>
      <c r="D414" t="s">
        <v>17</v>
      </c>
      <c r="E414" t="s">
        <v>52</v>
      </c>
      <c r="F414" t="s">
        <v>49</v>
      </c>
      <c r="G414">
        <v>2003</v>
      </c>
      <c r="H414">
        <v>8203</v>
      </c>
      <c r="I414">
        <v>7983.1</v>
      </c>
      <c r="J414">
        <v>224.9</v>
      </c>
      <c r="K414">
        <v>7947.8</v>
      </c>
      <c r="L414">
        <v>96.888943069999996</v>
      </c>
      <c r="M414">
        <v>255.2</v>
      </c>
      <c r="N414">
        <v>3.1110569300000002</v>
      </c>
    </row>
    <row r="415" spans="1:14" x14ac:dyDescent="0.35">
      <c r="A415" t="s">
        <v>499</v>
      </c>
      <c r="B415" t="s">
        <v>79</v>
      </c>
      <c r="C415" t="s">
        <v>22</v>
      </c>
      <c r="D415" t="s">
        <v>17</v>
      </c>
      <c r="E415" t="s">
        <v>52</v>
      </c>
      <c r="F415" t="s">
        <v>49</v>
      </c>
      <c r="G415">
        <v>1973</v>
      </c>
      <c r="H415">
        <v>8200.1</v>
      </c>
      <c r="I415">
        <v>7224.1</v>
      </c>
      <c r="J415">
        <v>979.3</v>
      </c>
      <c r="K415">
        <v>7171.3</v>
      </c>
      <c r="L415">
        <v>87.453811540000004</v>
      </c>
      <c r="M415">
        <v>1028.8</v>
      </c>
      <c r="N415">
        <v>12.54618846</v>
      </c>
    </row>
    <row r="416" spans="1:14" x14ac:dyDescent="0.35">
      <c r="A416" t="s">
        <v>500</v>
      </c>
      <c r="B416" t="s">
        <v>15</v>
      </c>
      <c r="C416" t="s">
        <v>34</v>
      </c>
      <c r="D416" t="s">
        <v>17</v>
      </c>
      <c r="E416" t="s">
        <v>23</v>
      </c>
      <c r="F416" t="s">
        <v>49</v>
      </c>
      <c r="G416">
        <v>1963</v>
      </c>
      <c r="H416">
        <v>8197.2000000000007</v>
      </c>
      <c r="I416">
        <v>8080.4</v>
      </c>
      <c r="J416">
        <v>120.7</v>
      </c>
      <c r="K416">
        <v>7892.6</v>
      </c>
      <c r="L416">
        <v>96.284097009999996</v>
      </c>
      <c r="M416">
        <v>304.60000000000002</v>
      </c>
      <c r="N416">
        <v>3.7159029910000001</v>
      </c>
    </row>
    <row r="417" spans="1:14" x14ac:dyDescent="0.35">
      <c r="A417" t="s">
        <v>501</v>
      </c>
      <c r="B417" t="s">
        <v>15</v>
      </c>
      <c r="C417" t="s">
        <v>502</v>
      </c>
      <c r="D417" t="s">
        <v>73</v>
      </c>
      <c r="E417" t="s">
        <v>74</v>
      </c>
      <c r="F417" t="s">
        <v>19</v>
      </c>
      <c r="G417">
        <v>1980</v>
      </c>
      <c r="H417">
        <v>8186.9</v>
      </c>
      <c r="I417">
        <v>3408.5</v>
      </c>
      <c r="J417">
        <v>4789.5</v>
      </c>
      <c r="K417">
        <v>515.9</v>
      </c>
      <c r="L417">
        <v>6.3015304939999996</v>
      </c>
      <c r="M417">
        <v>7671</v>
      </c>
      <c r="N417">
        <v>93.698469509999995</v>
      </c>
    </row>
    <row r="418" spans="1:14" x14ac:dyDescent="0.35">
      <c r="A418" t="s">
        <v>503</v>
      </c>
      <c r="B418" t="s">
        <v>15</v>
      </c>
      <c r="C418" t="s">
        <v>43</v>
      </c>
      <c r="D418" t="s">
        <v>25</v>
      </c>
      <c r="E418" t="s">
        <v>83</v>
      </c>
      <c r="F418" t="s">
        <v>49</v>
      </c>
      <c r="G418">
        <v>2012</v>
      </c>
      <c r="H418">
        <v>8164.9</v>
      </c>
      <c r="I418">
        <v>7391.5</v>
      </c>
      <c r="J418">
        <v>775.8</v>
      </c>
      <c r="K418">
        <v>1621.1</v>
      </c>
      <c r="L418">
        <v>19.854499140000001</v>
      </c>
      <c r="M418">
        <v>6543.8</v>
      </c>
      <c r="N418">
        <v>80.145500859999999</v>
      </c>
    </row>
    <row r="419" spans="1:14" x14ac:dyDescent="0.35">
      <c r="A419" t="s">
        <v>504</v>
      </c>
      <c r="B419" t="s">
        <v>15</v>
      </c>
      <c r="C419" t="s">
        <v>22</v>
      </c>
      <c r="D419" t="s">
        <v>17</v>
      </c>
      <c r="E419" t="s">
        <v>18</v>
      </c>
      <c r="F419" t="s">
        <v>19</v>
      </c>
      <c r="G419">
        <v>2015</v>
      </c>
      <c r="H419">
        <v>8148</v>
      </c>
      <c r="I419">
        <v>7808</v>
      </c>
      <c r="J419">
        <v>340</v>
      </c>
      <c r="K419">
        <v>6616.8</v>
      </c>
      <c r="L419">
        <v>81.207658319999993</v>
      </c>
      <c r="M419">
        <v>1531.2</v>
      </c>
      <c r="N419">
        <v>18.79234168</v>
      </c>
    </row>
    <row r="420" spans="1:14" x14ac:dyDescent="0.35">
      <c r="A420" t="s">
        <v>505</v>
      </c>
      <c r="B420" t="s">
        <v>15</v>
      </c>
      <c r="C420" t="s">
        <v>95</v>
      </c>
      <c r="D420" t="s">
        <v>17</v>
      </c>
      <c r="E420" t="s">
        <v>273</v>
      </c>
      <c r="F420" t="s">
        <v>19</v>
      </c>
      <c r="G420">
        <v>2013</v>
      </c>
      <c r="H420">
        <v>8092.2</v>
      </c>
      <c r="I420">
        <v>7918.7</v>
      </c>
      <c r="J420">
        <v>176.9</v>
      </c>
      <c r="K420">
        <v>7804.3</v>
      </c>
      <c r="L420">
        <v>96.442253030000003</v>
      </c>
      <c r="M420">
        <v>287.89999999999998</v>
      </c>
      <c r="N420">
        <v>3.5577469659999998</v>
      </c>
    </row>
    <row r="421" spans="1:14" x14ac:dyDescent="0.35">
      <c r="A421" t="s">
        <v>506</v>
      </c>
      <c r="B421" t="s">
        <v>15</v>
      </c>
      <c r="C421" t="s">
        <v>22</v>
      </c>
      <c r="D421" t="s">
        <v>17</v>
      </c>
      <c r="E421" t="s">
        <v>273</v>
      </c>
      <c r="F421" t="s">
        <v>19</v>
      </c>
      <c r="G421">
        <v>2007</v>
      </c>
      <c r="H421">
        <v>8065.4</v>
      </c>
      <c r="I421">
        <v>7161.8</v>
      </c>
      <c r="J421">
        <v>905.7</v>
      </c>
      <c r="K421">
        <v>4817</v>
      </c>
      <c r="L421">
        <v>59.724254219999999</v>
      </c>
      <c r="M421">
        <v>3248.4</v>
      </c>
      <c r="N421">
        <v>40.275745780000001</v>
      </c>
    </row>
    <row r="422" spans="1:14" x14ac:dyDescent="0.35">
      <c r="A422" t="s">
        <v>507</v>
      </c>
      <c r="B422" t="s">
        <v>15</v>
      </c>
      <c r="C422" t="s">
        <v>22</v>
      </c>
      <c r="D422" t="s">
        <v>25</v>
      </c>
      <c r="E422" t="s">
        <v>91</v>
      </c>
      <c r="F422" t="s">
        <v>49</v>
      </c>
      <c r="G422">
        <v>2020</v>
      </c>
      <c r="H422">
        <v>8063.4</v>
      </c>
      <c r="I422">
        <v>5540.4</v>
      </c>
      <c r="J422">
        <v>2525</v>
      </c>
      <c r="K422">
        <v>3610.3</v>
      </c>
      <c r="L422">
        <v>44.773916710000002</v>
      </c>
      <c r="M422">
        <v>4453.1000000000004</v>
      </c>
      <c r="N422">
        <v>55.226083289999998</v>
      </c>
    </row>
    <row r="423" spans="1:14" x14ac:dyDescent="0.35">
      <c r="A423" t="s">
        <v>508</v>
      </c>
      <c r="B423" t="s">
        <v>21</v>
      </c>
      <c r="C423" t="s">
        <v>46</v>
      </c>
      <c r="D423" t="s">
        <v>47</v>
      </c>
      <c r="E423" t="s">
        <v>48</v>
      </c>
      <c r="F423" t="s">
        <v>19</v>
      </c>
      <c r="G423">
        <v>2016</v>
      </c>
      <c r="H423">
        <v>8056.8</v>
      </c>
      <c r="I423">
        <v>4415.6000000000004</v>
      </c>
      <c r="J423">
        <v>3648.3</v>
      </c>
      <c r="K423">
        <v>3447</v>
      </c>
      <c r="L423">
        <v>42.783735479999997</v>
      </c>
      <c r="M423">
        <v>4609.8</v>
      </c>
      <c r="N423">
        <v>57.216264520000003</v>
      </c>
    </row>
    <row r="424" spans="1:14" x14ac:dyDescent="0.35">
      <c r="A424" t="s">
        <v>509</v>
      </c>
      <c r="B424" t="s">
        <v>15</v>
      </c>
      <c r="C424" t="s">
        <v>22</v>
      </c>
      <c r="D424" t="s">
        <v>17</v>
      </c>
      <c r="E424" t="s">
        <v>18</v>
      </c>
      <c r="F424" t="s">
        <v>19</v>
      </c>
      <c r="G424">
        <v>2011</v>
      </c>
      <c r="H424">
        <v>8043.6</v>
      </c>
      <c r="I424">
        <v>7678.7</v>
      </c>
      <c r="J424">
        <v>364.9</v>
      </c>
      <c r="K424">
        <v>6527.6</v>
      </c>
      <c r="L424">
        <v>81.152717690000003</v>
      </c>
      <c r="M424">
        <v>1516</v>
      </c>
      <c r="N424">
        <v>18.847282310000001</v>
      </c>
    </row>
    <row r="425" spans="1:14" x14ac:dyDescent="0.35">
      <c r="A425" t="s">
        <v>510</v>
      </c>
      <c r="B425" t="s">
        <v>15</v>
      </c>
      <c r="C425" t="s">
        <v>22</v>
      </c>
      <c r="D425" t="s">
        <v>17</v>
      </c>
      <c r="E425" t="s">
        <v>18</v>
      </c>
      <c r="F425" t="s">
        <v>49</v>
      </c>
      <c r="G425">
        <v>2013</v>
      </c>
      <c r="H425">
        <v>8030.3</v>
      </c>
      <c r="I425">
        <v>7270.4</v>
      </c>
      <c r="J425">
        <v>754.2</v>
      </c>
      <c r="K425">
        <v>4098.3999999999996</v>
      </c>
      <c r="L425">
        <v>51.0366985</v>
      </c>
      <c r="M425">
        <v>3931.9</v>
      </c>
      <c r="N425">
        <v>48.9633015</v>
      </c>
    </row>
    <row r="426" spans="1:14" x14ac:dyDescent="0.35">
      <c r="A426" t="s">
        <v>511</v>
      </c>
      <c r="B426" t="s">
        <v>21</v>
      </c>
      <c r="C426" t="s">
        <v>34</v>
      </c>
      <c r="D426" t="s">
        <v>17</v>
      </c>
      <c r="E426" t="s">
        <v>23</v>
      </c>
      <c r="F426" t="s">
        <v>19</v>
      </c>
      <c r="G426">
        <v>2014</v>
      </c>
      <c r="H426">
        <v>8019.9</v>
      </c>
      <c r="I426">
        <v>3097.3</v>
      </c>
      <c r="J426">
        <v>4922.6000000000004</v>
      </c>
      <c r="K426">
        <v>2755.3</v>
      </c>
      <c r="L426">
        <v>34.355789969999996</v>
      </c>
      <c r="M426">
        <v>5264.6</v>
      </c>
      <c r="N426">
        <v>65.644210029999996</v>
      </c>
    </row>
    <row r="427" spans="1:14" x14ac:dyDescent="0.35">
      <c r="A427" t="s">
        <v>512</v>
      </c>
      <c r="B427" t="s">
        <v>15</v>
      </c>
      <c r="C427" t="s">
        <v>34</v>
      </c>
      <c r="D427" t="s">
        <v>17</v>
      </c>
      <c r="E427" t="s">
        <v>52</v>
      </c>
      <c r="F427" t="s">
        <v>49</v>
      </c>
      <c r="G427">
        <v>1983</v>
      </c>
      <c r="H427">
        <v>8014.7</v>
      </c>
      <c r="I427">
        <v>8019.1</v>
      </c>
      <c r="J427">
        <v>0</v>
      </c>
      <c r="K427">
        <v>8014.7</v>
      </c>
      <c r="L427">
        <v>100</v>
      </c>
      <c r="M427">
        <v>0</v>
      </c>
      <c r="N427">
        <v>0</v>
      </c>
    </row>
    <row r="428" spans="1:14" x14ac:dyDescent="0.35">
      <c r="A428" t="s">
        <v>513</v>
      </c>
      <c r="B428" t="s">
        <v>15</v>
      </c>
      <c r="C428" t="s">
        <v>22</v>
      </c>
      <c r="D428" t="s">
        <v>17</v>
      </c>
      <c r="E428" t="s">
        <v>52</v>
      </c>
      <c r="F428" t="s">
        <v>49</v>
      </c>
      <c r="G428">
        <v>1972</v>
      </c>
      <c r="H428">
        <v>7987.3</v>
      </c>
      <c r="I428">
        <v>7990.9</v>
      </c>
      <c r="J428">
        <v>0</v>
      </c>
      <c r="K428">
        <v>7987.3</v>
      </c>
      <c r="L428">
        <v>100</v>
      </c>
      <c r="M428">
        <v>0</v>
      </c>
      <c r="N428">
        <v>0</v>
      </c>
    </row>
    <row r="429" spans="1:14" x14ac:dyDescent="0.35">
      <c r="A429" t="s">
        <v>514</v>
      </c>
      <c r="B429" t="s">
        <v>15</v>
      </c>
      <c r="C429" t="s">
        <v>34</v>
      </c>
      <c r="D429" t="s">
        <v>17</v>
      </c>
      <c r="E429" t="s">
        <v>52</v>
      </c>
      <c r="F429" t="s">
        <v>49</v>
      </c>
      <c r="G429">
        <v>1977</v>
      </c>
      <c r="H429">
        <v>7976.6</v>
      </c>
      <c r="I429">
        <v>7980.4</v>
      </c>
      <c r="J429">
        <v>0.6</v>
      </c>
      <c r="K429">
        <v>7960.2</v>
      </c>
      <c r="L429">
        <v>99.794398619999996</v>
      </c>
      <c r="M429">
        <v>16.399999999999999</v>
      </c>
      <c r="N429">
        <v>0.205601384</v>
      </c>
    </row>
    <row r="430" spans="1:14" x14ac:dyDescent="0.35">
      <c r="A430" t="s">
        <v>515</v>
      </c>
      <c r="B430" t="s">
        <v>15</v>
      </c>
      <c r="C430" t="s">
        <v>34</v>
      </c>
      <c r="D430" t="s">
        <v>17</v>
      </c>
      <c r="E430" t="s">
        <v>23</v>
      </c>
      <c r="F430" t="s">
        <v>19</v>
      </c>
      <c r="G430">
        <v>1981</v>
      </c>
      <c r="H430">
        <v>7940.4</v>
      </c>
      <c r="I430">
        <v>7942.6</v>
      </c>
      <c r="J430">
        <v>0</v>
      </c>
      <c r="K430">
        <v>7116.9</v>
      </c>
      <c r="L430">
        <v>89.628985950000001</v>
      </c>
      <c r="M430">
        <v>823.5</v>
      </c>
      <c r="N430">
        <v>10.371014049999999</v>
      </c>
    </row>
    <row r="431" spans="1:14" x14ac:dyDescent="0.35">
      <c r="A431" t="s">
        <v>516</v>
      </c>
      <c r="B431" t="s">
        <v>15</v>
      </c>
      <c r="C431" t="s">
        <v>22</v>
      </c>
      <c r="D431" t="s">
        <v>17</v>
      </c>
      <c r="E431" t="s">
        <v>52</v>
      </c>
      <c r="F431" t="s">
        <v>49</v>
      </c>
      <c r="G431">
        <v>2001</v>
      </c>
      <c r="H431">
        <v>7934.8</v>
      </c>
      <c r="I431">
        <v>4641.5</v>
      </c>
      <c r="J431">
        <v>3299.4</v>
      </c>
      <c r="K431">
        <v>7901.6</v>
      </c>
      <c r="L431">
        <v>99.581589960000002</v>
      </c>
      <c r="M431">
        <v>33.200000000000003</v>
      </c>
      <c r="N431">
        <v>0.41841004180000002</v>
      </c>
    </row>
    <row r="432" spans="1:14" x14ac:dyDescent="0.35">
      <c r="A432" t="s">
        <v>517</v>
      </c>
      <c r="B432" t="s">
        <v>15</v>
      </c>
      <c r="C432" t="s">
        <v>518</v>
      </c>
      <c r="D432" t="s">
        <v>519</v>
      </c>
      <c r="E432" t="s">
        <v>23</v>
      </c>
      <c r="F432" t="s">
        <v>19</v>
      </c>
      <c r="G432">
        <v>2002</v>
      </c>
      <c r="H432">
        <v>7934.5</v>
      </c>
      <c r="I432">
        <v>2022.8</v>
      </c>
      <c r="J432">
        <v>5906</v>
      </c>
      <c r="K432">
        <v>723</v>
      </c>
      <c r="L432">
        <v>9.1121053629999995</v>
      </c>
      <c r="M432">
        <v>7211.5</v>
      </c>
      <c r="N432">
        <v>90.887894639999999</v>
      </c>
    </row>
    <row r="433" spans="1:14" x14ac:dyDescent="0.35">
      <c r="A433" t="s">
        <v>520</v>
      </c>
      <c r="B433" t="s">
        <v>15</v>
      </c>
      <c r="C433" t="s">
        <v>43</v>
      </c>
      <c r="D433" t="s">
        <v>25</v>
      </c>
      <c r="E433" t="s">
        <v>26</v>
      </c>
      <c r="F433" t="s">
        <v>19</v>
      </c>
      <c r="G433">
        <v>2016</v>
      </c>
      <c r="H433">
        <v>7921.6</v>
      </c>
      <c r="I433">
        <v>7400.3</v>
      </c>
      <c r="J433">
        <v>508.4</v>
      </c>
      <c r="K433">
        <v>7.5</v>
      </c>
      <c r="L433">
        <v>9.467784286E-2</v>
      </c>
      <c r="M433">
        <v>7914.1</v>
      </c>
      <c r="N433">
        <v>99.905322159999997</v>
      </c>
    </row>
    <row r="434" spans="1:14" x14ac:dyDescent="0.35">
      <c r="A434" t="s">
        <v>521</v>
      </c>
      <c r="B434" t="s">
        <v>21</v>
      </c>
      <c r="C434" t="s">
        <v>34</v>
      </c>
      <c r="D434" t="s">
        <v>17</v>
      </c>
      <c r="E434" t="s">
        <v>456</v>
      </c>
      <c r="F434" t="s">
        <v>19</v>
      </c>
      <c r="G434">
        <v>2018</v>
      </c>
      <c r="H434">
        <v>7892.9</v>
      </c>
      <c r="I434">
        <v>7895.6</v>
      </c>
      <c r="J434">
        <v>0</v>
      </c>
      <c r="K434">
        <v>7164.5</v>
      </c>
      <c r="L434">
        <v>90.771452819999993</v>
      </c>
      <c r="M434">
        <v>728.4</v>
      </c>
      <c r="N434">
        <v>9.2285471749999992</v>
      </c>
    </row>
    <row r="435" spans="1:14" x14ac:dyDescent="0.35">
      <c r="A435" t="s">
        <v>522</v>
      </c>
      <c r="B435" t="s">
        <v>15</v>
      </c>
      <c r="C435" t="s">
        <v>34</v>
      </c>
      <c r="D435" t="s">
        <v>17</v>
      </c>
      <c r="E435" t="s">
        <v>52</v>
      </c>
      <c r="F435" t="s">
        <v>49</v>
      </c>
      <c r="G435">
        <v>1978</v>
      </c>
      <c r="H435">
        <v>7891.3</v>
      </c>
      <c r="I435">
        <v>7595.8</v>
      </c>
      <c r="J435">
        <v>298.7</v>
      </c>
      <c r="K435">
        <v>7890.8</v>
      </c>
      <c r="L435">
        <v>99.993663909999995</v>
      </c>
      <c r="M435">
        <v>0.5</v>
      </c>
      <c r="N435">
        <v>6.3360916449999999E-3</v>
      </c>
    </row>
    <row r="436" spans="1:14" x14ac:dyDescent="0.35">
      <c r="A436" t="s">
        <v>523</v>
      </c>
      <c r="B436" t="s">
        <v>21</v>
      </c>
      <c r="C436" t="s">
        <v>46</v>
      </c>
      <c r="D436" t="s">
        <v>47</v>
      </c>
      <c r="E436" t="s">
        <v>48</v>
      </c>
      <c r="F436" t="s">
        <v>49</v>
      </c>
      <c r="G436">
        <v>2022</v>
      </c>
      <c r="H436">
        <v>7886.9</v>
      </c>
      <c r="I436">
        <v>7880.6</v>
      </c>
      <c r="J436">
        <v>5.3</v>
      </c>
      <c r="K436">
        <v>7566</v>
      </c>
      <c r="L436">
        <v>95.931227730000003</v>
      </c>
      <c r="M436">
        <v>320.89999999999998</v>
      </c>
      <c r="N436">
        <v>4.068772268</v>
      </c>
    </row>
    <row r="437" spans="1:14" x14ac:dyDescent="0.35">
      <c r="A437" t="s">
        <v>524</v>
      </c>
      <c r="B437" t="s">
        <v>15</v>
      </c>
      <c r="C437" t="s">
        <v>22</v>
      </c>
      <c r="D437" t="s">
        <v>17</v>
      </c>
      <c r="E437" t="s">
        <v>292</v>
      </c>
      <c r="F437" t="s">
        <v>49</v>
      </c>
      <c r="G437">
        <v>2001</v>
      </c>
      <c r="H437">
        <v>7871.9</v>
      </c>
      <c r="I437">
        <v>7152</v>
      </c>
      <c r="J437">
        <v>706.6</v>
      </c>
      <c r="K437">
        <v>7858.1</v>
      </c>
      <c r="L437">
        <v>99.824692889999994</v>
      </c>
      <c r="M437">
        <v>13.8</v>
      </c>
      <c r="N437">
        <v>0.17530710499999999</v>
      </c>
    </row>
    <row r="438" spans="1:14" x14ac:dyDescent="0.35">
      <c r="A438" t="s">
        <v>525</v>
      </c>
      <c r="B438" t="s">
        <v>15</v>
      </c>
      <c r="C438" t="s">
        <v>526</v>
      </c>
      <c r="D438" t="s">
        <v>25</v>
      </c>
      <c r="E438" t="s">
        <v>83</v>
      </c>
      <c r="F438" t="s">
        <v>19</v>
      </c>
      <c r="G438">
        <v>1985</v>
      </c>
      <c r="H438">
        <v>7852.2</v>
      </c>
      <c r="I438">
        <v>7854.4</v>
      </c>
      <c r="J438">
        <v>4</v>
      </c>
      <c r="K438">
        <v>7062</v>
      </c>
      <c r="L438">
        <v>89.936578280000006</v>
      </c>
      <c r="M438">
        <v>790.2</v>
      </c>
      <c r="N438">
        <v>10.063421719999999</v>
      </c>
    </row>
    <row r="439" spans="1:14" x14ac:dyDescent="0.35">
      <c r="A439" t="s">
        <v>527</v>
      </c>
      <c r="B439" t="s">
        <v>79</v>
      </c>
      <c r="C439" t="s">
        <v>90</v>
      </c>
      <c r="D439" t="s">
        <v>25</v>
      </c>
      <c r="E439" t="s">
        <v>83</v>
      </c>
      <c r="F439" t="s">
        <v>49</v>
      </c>
      <c r="G439">
        <v>1982</v>
      </c>
      <c r="H439">
        <v>7838.9</v>
      </c>
      <c r="I439">
        <v>7528</v>
      </c>
      <c r="J439">
        <v>310.89999999999998</v>
      </c>
      <c r="K439">
        <v>2829.8</v>
      </c>
      <c r="L439">
        <v>36.099452730000003</v>
      </c>
      <c r="M439">
        <v>5009.1000000000004</v>
      </c>
      <c r="N439">
        <v>63.900547269999997</v>
      </c>
    </row>
    <row r="440" spans="1:14" x14ac:dyDescent="0.35">
      <c r="A440" t="s">
        <v>528</v>
      </c>
      <c r="B440" t="s">
        <v>15</v>
      </c>
      <c r="C440" t="s">
        <v>34</v>
      </c>
      <c r="D440" t="s">
        <v>17</v>
      </c>
      <c r="E440" t="s">
        <v>23</v>
      </c>
      <c r="F440" t="s">
        <v>19</v>
      </c>
      <c r="G440">
        <v>2015</v>
      </c>
      <c r="H440">
        <v>7824.1</v>
      </c>
      <c r="I440">
        <v>6895.6</v>
      </c>
      <c r="J440">
        <v>928.5</v>
      </c>
      <c r="K440">
        <v>6188.5</v>
      </c>
      <c r="L440">
        <v>79.095359209999998</v>
      </c>
      <c r="M440">
        <v>1635.6</v>
      </c>
      <c r="N440">
        <v>20.904640789999998</v>
      </c>
    </row>
    <row r="441" spans="1:14" x14ac:dyDescent="0.35">
      <c r="A441" t="s">
        <v>529</v>
      </c>
      <c r="B441" t="s">
        <v>15</v>
      </c>
      <c r="C441" t="s">
        <v>22</v>
      </c>
      <c r="D441" t="s">
        <v>17</v>
      </c>
      <c r="E441" t="s">
        <v>18</v>
      </c>
      <c r="F441" t="s">
        <v>19</v>
      </c>
      <c r="G441">
        <v>2008</v>
      </c>
      <c r="H441">
        <v>7817.3</v>
      </c>
      <c r="I441">
        <v>4590.3999999999996</v>
      </c>
      <c r="J441">
        <v>3227</v>
      </c>
      <c r="K441">
        <v>1655.2</v>
      </c>
      <c r="L441">
        <v>21.173550970000001</v>
      </c>
      <c r="M441">
        <v>6162.1</v>
      </c>
      <c r="N441">
        <v>78.826449030000006</v>
      </c>
    </row>
    <row r="442" spans="1:14" x14ac:dyDescent="0.35">
      <c r="A442" t="s">
        <v>530</v>
      </c>
      <c r="B442" t="s">
        <v>15</v>
      </c>
      <c r="C442" t="s">
        <v>22</v>
      </c>
      <c r="D442" t="s">
        <v>17</v>
      </c>
      <c r="E442" t="s">
        <v>28</v>
      </c>
      <c r="F442" t="s">
        <v>19</v>
      </c>
      <c r="G442">
        <v>2016</v>
      </c>
      <c r="H442">
        <v>7810.5</v>
      </c>
      <c r="I442">
        <v>3575.2</v>
      </c>
      <c r="J442">
        <v>4235.2</v>
      </c>
      <c r="K442">
        <v>2342.1</v>
      </c>
      <c r="L442">
        <v>29.98655656</v>
      </c>
      <c r="M442">
        <v>5468.4</v>
      </c>
      <c r="N442">
        <v>70.013443440000003</v>
      </c>
    </row>
    <row r="443" spans="1:14" x14ac:dyDescent="0.35">
      <c r="A443" t="s">
        <v>531</v>
      </c>
      <c r="B443" t="s">
        <v>15</v>
      </c>
      <c r="C443" t="s">
        <v>34</v>
      </c>
      <c r="D443" t="s">
        <v>17</v>
      </c>
      <c r="E443" t="s">
        <v>61</v>
      </c>
      <c r="F443" t="s">
        <v>49</v>
      </c>
      <c r="G443">
        <v>2010</v>
      </c>
      <c r="H443">
        <v>7787.8</v>
      </c>
      <c r="I443">
        <v>5988.8</v>
      </c>
      <c r="J443">
        <v>1801.6</v>
      </c>
      <c r="K443">
        <v>801</v>
      </c>
      <c r="L443">
        <v>10.28531806</v>
      </c>
      <c r="M443">
        <v>6986.8</v>
      </c>
      <c r="N443">
        <v>89.714681940000006</v>
      </c>
    </row>
    <row r="444" spans="1:14" x14ac:dyDescent="0.35">
      <c r="A444" t="s">
        <v>532</v>
      </c>
      <c r="B444" t="s">
        <v>15</v>
      </c>
      <c r="C444" t="s">
        <v>22</v>
      </c>
      <c r="D444" t="s">
        <v>25</v>
      </c>
      <c r="E444" t="s">
        <v>26</v>
      </c>
      <c r="F444" t="s">
        <v>19</v>
      </c>
      <c r="G444">
        <v>2014</v>
      </c>
      <c r="H444">
        <v>7785.3</v>
      </c>
      <c r="I444">
        <v>2720.2</v>
      </c>
      <c r="J444">
        <v>5065.1000000000004</v>
      </c>
      <c r="K444">
        <v>69.3</v>
      </c>
      <c r="L444">
        <v>0.89013910829999998</v>
      </c>
      <c r="M444">
        <v>7716</v>
      </c>
      <c r="N444">
        <v>99.109860889999993</v>
      </c>
    </row>
    <row r="445" spans="1:14" x14ac:dyDescent="0.35">
      <c r="A445" t="s">
        <v>533</v>
      </c>
      <c r="B445" t="s">
        <v>15</v>
      </c>
      <c r="C445" t="s">
        <v>148</v>
      </c>
      <c r="D445" t="s">
        <v>17</v>
      </c>
      <c r="E445" t="s">
        <v>61</v>
      </c>
      <c r="F445" t="s">
        <v>19</v>
      </c>
      <c r="G445">
        <v>2010</v>
      </c>
      <c r="H445">
        <v>7765.7</v>
      </c>
      <c r="I445">
        <v>4434.2</v>
      </c>
      <c r="J445">
        <v>3331.5</v>
      </c>
      <c r="K445">
        <v>781.1</v>
      </c>
      <c r="L445">
        <v>10.05833344</v>
      </c>
      <c r="M445">
        <v>6984.6</v>
      </c>
      <c r="N445">
        <v>89.941666560000002</v>
      </c>
    </row>
    <row r="446" spans="1:14" x14ac:dyDescent="0.35">
      <c r="A446" t="s">
        <v>534</v>
      </c>
      <c r="B446" t="s">
        <v>15</v>
      </c>
      <c r="C446" t="s">
        <v>535</v>
      </c>
      <c r="D446" t="s">
        <v>130</v>
      </c>
      <c r="E446" t="s">
        <v>18</v>
      </c>
      <c r="F446" t="s">
        <v>19</v>
      </c>
      <c r="G446">
        <v>2006</v>
      </c>
      <c r="H446">
        <v>7738.2</v>
      </c>
      <c r="I446">
        <v>3470.6</v>
      </c>
      <c r="J446">
        <v>4267.7</v>
      </c>
      <c r="K446">
        <v>1580.4</v>
      </c>
      <c r="L446">
        <v>20.423354270000001</v>
      </c>
      <c r="M446">
        <v>6157.8</v>
      </c>
      <c r="N446">
        <v>79.576645729999996</v>
      </c>
    </row>
    <row r="447" spans="1:14" x14ac:dyDescent="0.35">
      <c r="A447" t="s">
        <v>536</v>
      </c>
      <c r="B447" t="s">
        <v>15</v>
      </c>
      <c r="C447" t="s">
        <v>22</v>
      </c>
      <c r="D447" t="s">
        <v>17</v>
      </c>
      <c r="E447" t="s">
        <v>18</v>
      </c>
      <c r="F447" t="s">
        <v>19</v>
      </c>
      <c r="G447">
        <v>2000</v>
      </c>
      <c r="H447">
        <v>7729.6</v>
      </c>
      <c r="I447">
        <v>6445.6</v>
      </c>
      <c r="J447">
        <v>1287.7</v>
      </c>
      <c r="K447">
        <v>2355.3000000000002</v>
      </c>
      <c r="L447">
        <v>30.47117574</v>
      </c>
      <c r="M447">
        <v>5374.3</v>
      </c>
      <c r="N447">
        <v>69.528824259999993</v>
      </c>
    </row>
    <row r="448" spans="1:14" x14ac:dyDescent="0.35">
      <c r="A448" t="s">
        <v>537</v>
      </c>
      <c r="B448" t="s">
        <v>15</v>
      </c>
      <c r="C448" t="s">
        <v>34</v>
      </c>
      <c r="D448" t="s">
        <v>17</v>
      </c>
      <c r="E448" t="s">
        <v>52</v>
      </c>
      <c r="F448" t="s">
        <v>49</v>
      </c>
      <c r="G448">
        <v>2009</v>
      </c>
      <c r="H448">
        <v>7713.9</v>
      </c>
      <c r="I448">
        <v>7713.9</v>
      </c>
      <c r="J448">
        <v>0</v>
      </c>
      <c r="K448">
        <v>7200.6</v>
      </c>
      <c r="L448">
        <v>93.3457784</v>
      </c>
      <c r="M448">
        <v>513.29999999999995</v>
      </c>
      <c r="N448">
        <v>6.6542215999999996</v>
      </c>
    </row>
    <row r="449" spans="1:14" x14ac:dyDescent="0.35">
      <c r="A449" t="s">
        <v>538</v>
      </c>
      <c r="B449" t="s">
        <v>15</v>
      </c>
      <c r="C449" t="s">
        <v>72</v>
      </c>
      <c r="D449" t="s">
        <v>73</v>
      </c>
      <c r="E449" t="s">
        <v>23</v>
      </c>
      <c r="F449" t="s">
        <v>19</v>
      </c>
      <c r="G449">
        <v>1999</v>
      </c>
      <c r="H449">
        <v>7689.5</v>
      </c>
      <c r="I449">
        <v>107.1</v>
      </c>
      <c r="J449">
        <v>7598.6</v>
      </c>
      <c r="K449">
        <v>0</v>
      </c>
      <c r="L449">
        <v>0</v>
      </c>
      <c r="M449">
        <v>7689.5</v>
      </c>
      <c r="N449">
        <v>100</v>
      </c>
    </row>
    <row r="450" spans="1:14" x14ac:dyDescent="0.35">
      <c r="A450" t="s">
        <v>539</v>
      </c>
      <c r="B450" t="s">
        <v>15</v>
      </c>
      <c r="C450" t="s">
        <v>22</v>
      </c>
      <c r="D450" t="s">
        <v>17</v>
      </c>
      <c r="E450" t="s">
        <v>52</v>
      </c>
      <c r="F450" t="s">
        <v>49</v>
      </c>
      <c r="G450">
        <v>1991</v>
      </c>
      <c r="H450">
        <v>7673.1</v>
      </c>
      <c r="I450">
        <v>7673.1</v>
      </c>
      <c r="J450">
        <v>0</v>
      </c>
      <c r="K450">
        <v>7659.2</v>
      </c>
      <c r="L450">
        <v>99.818847660000003</v>
      </c>
      <c r="M450">
        <v>13.9</v>
      </c>
      <c r="N450">
        <v>0.1811523374</v>
      </c>
    </row>
    <row r="451" spans="1:14" x14ac:dyDescent="0.35">
      <c r="A451" t="s">
        <v>540</v>
      </c>
      <c r="B451" t="s">
        <v>15</v>
      </c>
      <c r="C451" t="s">
        <v>22</v>
      </c>
      <c r="D451" t="s">
        <v>25</v>
      </c>
      <c r="E451" t="s">
        <v>26</v>
      </c>
      <c r="F451" t="s">
        <v>19</v>
      </c>
      <c r="G451">
        <v>2004</v>
      </c>
      <c r="H451">
        <v>7661.6</v>
      </c>
      <c r="I451">
        <v>1713.9</v>
      </c>
      <c r="J451">
        <v>5947.7</v>
      </c>
      <c r="K451">
        <v>560.9</v>
      </c>
      <c r="L451">
        <v>7.3209251330000003</v>
      </c>
      <c r="M451">
        <v>7100.7</v>
      </c>
      <c r="N451">
        <v>92.679074869999994</v>
      </c>
    </row>
    <row r="452" spans="1:14" x14ac:dyDescent="0.35">
      <c r="A452" t="s">
        <v>541</v>
      </c>
      <c r="B452" t="s">
        <v>15</v>
      </c>
      <c r="C452" t="s">
        <v>43</v>
      </c>
      <c r="D452" t="s">
        <v>25</v>
      </c>
      <c r="E452" t="s">
        <v>26</v>
      </c>
      <c r="F452" t="s">
        <v>19</v>
      </c>
      <c r="G452">
        <v>2017</v>
      </c>
      <c r="H452">
        <v>7645.2</v>
      </c>
      <c r="I452">
        <v>4203.6000000000004</v>
      </c>
      <c r="J452">
        <v>3448.5</v>
      </c>
      <c r="K452">
        <v>1809.6</v>
      </c>
      <c r="L452">
        <v>23.669753570000001</v>
      </c>
      <c r="M452">
        <v>5835.6</v>
      </c>
      <c r="N452">
        <v>76.330246430000003</v>
      </c>
    </row>
    <row r="453" spans="1:14" x14ac:dyDescent="0.35">
      <c r="A453" t="s">
        <v>542</v>
      </c>
      <c r="B453" t="s">
        <v>21</v>
      </c>
      <c r="C453" t="s">
        <v>16</v>
      </c>
      <c r="D453" t="s">
        <v>17</v>
      </c>
      <c r="E453" t="s">
        <v>23</v>
      </c>
      <c r="F453" t="s">
        <v>19</v>
      </c>
      <c r="G453">
        <v>2000</v>
      </c>
      <c r="H453">
        <v>7628.1</v>
      </c>
      <c r="I453">
        <v>6657.6</v>
      </c>
      <c r="J453">
        <v>974.8</v>
      </c>
      <c r="K453">
        <v>3569</v>
      </c>
      <c r="L453">
        <v>46.787535560000002</v>
      </c>
      <c r="M453">
        <v>4059.1</v>
      </c>
      <c r="N453">
        <v>53.212464439999998</v>
      </c>
    </row>
    <row r="454" spans="1:14" x14ac:dyDescent="0.35">
      <c r="A454" t="s">
        <v>543</v>
      </c>
      <c r="B454" t="s">
        <v>15</v>
      </c>
      <c r="C454" t="s">
        <v>167</v>
      </c>
      <c r="D454" t="s">
        <v>168</v>
      </c>
      <c r="E454" t="s">
        <v>83</v>
      </c>
      <c r="F454" t="s">
        <v>19</v>
      </c>
      <c r="G454">
        <v>2003</v>
      </c>
      <c r="H454">
        <v>7618.8</v>
      </c>
      <c r="I454">
        <v>5257.8</v>
      </c>
      <c r="J454">
        <v>2361</v>
      </c>
      <c r="K454">
        <v>2908.3</v>
      </c>
      <c r="L454">
        <v>38.17267811</v>
      </c>
      <c r="M454">
        <v>4710.5</v>
      </c>
      <c r="N454">
        <v>61.82732189</v>
      </c>
    </row>
    <row r="455" spans="1:14" x14ac:dyDescent="0.35">
      <c r="A455" t="s">
        <v>544</v>
      </c>
      <c r="B455" t="s">
        <v>15</v>
      </c>
      <c r="C455" t="s">
        <v>22</v>
      </c>
      <c r="D455" t="s">
        <v>17</v>
      </c>
      <c r="E455" t="s">
        <v>292</v>
      </c>
      <c r="F455" t="s">
        <v>49</v>
      </c>
      <c r="G455">
        <v>2000</v>
      </c>
      <c r="H455">
        <v>7612.3</v>
      </c>
      <c r="I455">
        <v>7614.9</v>
      </c>
      <c r="J455">
        <v>0</v>
      </c>
      <c r="K455">
        <v>6849.1</v>
      </c>
      <c r="L455">
        <v>89.974120830000004</v>
      </c>
      <c r="M455">
        <v>763.2</v>
      </c>
      <c r="N455">
        <v>10.02587917</v>
      </c>
    </row>
    <row r="456" spans="1:14" x14ac:dyDescent="0.35">
      <c r="A456" t="s">
        <v>545</v>
      </c>
      <c r="B456" t="s">
        <v>21</v>
      </c>
      <c r="C456" t="s">
        <v>22</v>
      </c>
      <c r="D456" t="s">
        <v>17</v>
      </c>
      <c r="E456" t="s">
        <v>28</v>
      </c>
      <c r="F456" t="s">
        <v>19</v>
      </c>
      <c r="G456">
        <v>2016</v>
      </c>
      <c r="H456">
        <v>7608.2</v>
      </c>
      <c r="I456">
        <v>3801.5</v>
      </c>
      <c r="J456">
        <v>3806.7</v>
      </c>
      <c r="K456">
        <v>2191.8000000000002</v>
      </c>
      <c r="L456">
        <v>28.80839095</v>
      </c>
      <c r="M456">
        <v>5416.4</v>
      </c>
      <c r="N456">
        <v>71.191609049999997</v>
      </c>
    </row>
    <row r="457" spans="1:14" x14ac:dyDescent="0.35">
      <c r="A457" t="s">
        <v>546</v>
      </c>
      <c r="B457" t="s">
        <v>21</v>
      </c>
      <c r="C457" t="s">
        <v>34</v>
      </c>
      <c r="D457" t="s">
        <v>17</v>
      </c>
      <c r="E457" t="s">
        <v>23</v>
      </c>
      <c r="F457" t="s">
        <v>19</v>
      </c>
      <c r="G457">
        <v>2012</v>
      </c>
      <c r="H457">
        <v>7596.7</v>
      </c>
      <c r="I457">
        <v>3575.7</v>
      </c>
      <c r="J457">
        <v>4021</v>
      </c>
      <c r="K457">
        <v>2786.1</v>
      </c>
      <c r="L457">
        <v>36.675135259999998</v>
      </c>
      <c r="M457">
        <v>4810.6000000000004</v>
      </c>
      <c r="N457">
        <v>63.324864740000002</v>
      </c>
    </row>
    <row r="458" spans="1:14" x14ac:dyDescent="0.35">
      <c r="A458" t="s">
        <v>547</v>
      </c>
      <c r="B458" t="s">
        <v>15</v>
      </c>
      <c r="C458" t="s">
        <v>22</v>
      </c>
      <c r="D458" t="s">
        <v>17</v>
      </c>
      <c r="E458" t="s">
        <v>18</v>
      </c>
      <c r="F458" t="s">
        <v>19</v>
      </c>
      <c r="G458">
        <v>2007</v>
      </c>
      <c r="H458">
        <v>7589.1</v>
      </c>
      <c r="I458">
        <v>6273.4</v>
      </c>
      <c r="J458">
        <v>1315.7</v>
      </c>
      <c r="K458">
        <v>5418.2</v>
      </c>
      <c r="L458">
        <v>71.394500010000002</v>
      </c>
      <c r="M458">
        <v>2170.9</v>
      </c>
      <c r="N458">
        <v>28.605499989999998</v>
      </c>
    </row>
    <row r="459" spans="1:14" x14ac:dyDescent="0.35">
      <c r="A459" t="s">
        <v>548</v>
      </c>
      <c r="B459" t="s">
        <v>21</v>
      </c>
      <c r="C459" t="s">
        <v>549</v>
      </c>
      <c r="D459" t="s">
        <v>17</v>
      </c>
      <c r="E459" t="s">
        <v>52</v>
      </c>
      <c r="F459" t="s">
        <v>19</v>
      </c>
      <c r="G459">
        <v>2017</v>
      </c>
      <c r="H459">
        <v>7552.8</v>
      </c>
      <c r="I459">
        <v>5418.1</v>
      </c>
      <c r="J459">
        <v>2144.1</v>
      </c>
      <c r="K459">
        <v>4710</v>
      </c>
      <c r="L459">
        <v>62.360978709999998</v>
      </c>
      <c r="M459">
        <v>2842.8</v>
      </c>
      <c r="N459">
        <v>37.639021290000002</v>
      </c>
    </row>
    <row r="460" spans="1:14" x14ac:dyDescent="0.35">
      <c r="A460" t="s">
        <v>550</v>
      </c>
      <c r="B460" t="s">
        <v>15</v>
      </c>
      <c r="C460" t="s">
        <v>72</v>
      </c>
      <c r="D460" t="s">
        <v>551</v>
      </c>
      <c r="E460" t="s">
        <v>18</v>
      </c>
      <c r="F460" t="s">
        <v>19</v>
      </c>
      <c r="G460">
        <v>2014</v>
      </c>
      <c r="H460">
        <v>7550.3</v>
      </c>
      <c r="I460">
        <v>6212.4</v>
      </c>
      <c r="J460">
        <v>1334.7</v>
      </c>
      <c r="K460">
        <v>1537.2</v>
      </c>
      <c r="L460">
        <v>20.359455919999998</v>
      </c>
      <c r="M460">
        <v>6013.1</v>
      </c>
      <c r="N460">
        <v>79.640544079999998</v>
      </c>
    </row>
    <row r="461" spans="1:14" x14ac:dyDescent="0.35">
      <c r="A461" t="s">
        <v>552</v>
      </c>
      <c r="B461" t="s">
        <v>21</v>
      </c>
      <c r="C461" t="s">
        <v>16</v>
      </c>
      <c r="D461" t="s">
        <v>258</v>
      </c>
      <c r="E461" t="s">
        <v>23</v>
      </c>
      <c r="F461" t="s">
        <v>19</v>
      </c>
      <c r="G461">
        <v>1981</v>
      </c>
      <c r="H461">
        <v>7543.1</v>
      </c>
      <c r="I461">
        <v>7093.1</v>
      </c>
      <c r="J461">
        <v>450</v>
      </c>
      <c r="K461">
        <v>6268.7</v>
      </c>
      <c r="L461">
        <v>83.105089419999999</v>
      </c>
      <c r="M461">
        <v>1274.4000000000001</v>
      </c>
      <c r="N461">
        <v>16.894910580000001</v>
      </c>
    </row>
    <row r="462" spans="1:14" x14ac:dyDescent="0.35">
      <c r="A462" t="s">
        <v>553</v>
      </c>
      <c r="B462" t="s">
        <v>15</v>
      </c>
      <c r="C462" t="s">
        <v>16</v>
      </c>
      <c r="D462" t="s">
        <v>17</v>
      </c>
      <c r="E462" t="s">
        <v>52</v>
      </c>
      <c r="F462" t="s">
        <v>19</v>
      </c>
      <c r="G462">
        <v>1980</v>
      </c>
      <c r="H462">
        <v>7503.2</v>
      </c>
      <c r="I462">
        <v>5958.2</v>
      </c>
      <c r="J462">
        <v>1568.1</v>
      </c>
      <c r="K462">
        <v>6592.7</v>
      </c>
      <c r="L462">
        <v>87.865177520000003</v>
      </c>
      <c r="M462">
        <v>910.5</v>
      </c>
      <c r="N462">
        <v>12.13482248</v>
      </c>
    </row>
    <row r="463" spans="1:14" x14ac:dyDescent="0.35">
      <c r="A463" t="s">
        <v>554</v>
      </c>
      <c r="B463" t="s">
        <v>15</v>
      </c>
      <c r="C463" t="s">
        <v>46</v>
      </c>
      <c r="D463" t="s">
        <v>47</v>
      </c>
      <c r="E463" t="s">
        <v>48</v>
      </c>
      <c r="F463" t="s">
        <v>49</v>
      </c>
      <c r="G463">
        <v>2020</v>
      </c>
      <c r="H463">
        <v>7486.2</v>
      </c>
      <c r="I463">
        <v>7178.8</v>
      </c>
      <c r="J463">
        <v>328.1</v>
      </c>
      <c r="K463">
        <v>7290.2</v>
      </c>
      <c r="L463">
        <v>97.381849270000004</v>
      </c>
      <c r="M463">
        <v>196</v>
      </c>
      <c r="N463">
        <v>2.6181507310000001</v>
      </c>
    </row>
    <row r="464" spans="1:14" x14ac:dyDescent="0.35">
      <c r="A464" t="s">
        <v>555</v>
      </c>
      <c r="B464" t="s">
        <v>15</v>
      </c>
      <c r="C464" t="s">
        <v>22</v>
      </c>
      <c r="D464" t="s">
        <v>17</v>
      </c>
      <c r="E464" t="s">
        <v>58</v>
      </c>
      <c r="F464" t="s">
        <v>19</v>
      </c>
      <c r="G464">
        <v>2017</v>
      </c>
      <c r="H464">
        <v>7485.1</v>
      </c>
      <c r="I464">
        <v>6757.7</v>
      </c>
      <c r="J464">
        <v>735.7</v>
      </c>
      <c r="K464">
        <v>6205.8</v>
      </c>
      <c r="L464">
        <v>82.908711969999999</v>
      </c>
      <c r="M464">
        <v>1279.3</v>
      </c>
      <c r="N464">
        <v>17.091288030000001</v>
      </c>
    </row>
    <row r="465" spans="1:14" x14ac:dyDescent="0.35">
      <c r="A465" t="s">
        <v>556</v>
      </c>
      <c r="B465" t="s">
        <v>21</v>
      </c>
      <c r="C465" t="s">
        <v>167</v>
      </c>
      <c r="D465" t="s">
        <v>168</v>
      </c>
      <c r="E465" t="s">
        <v>169</v>
      </c>
      <c r="F465" t="s">
        <v>19</v>
      </c>
      <c r="G465">
        <v>2021</v>
      </c>
      <c r="H465">
        <v>7467.3</v>
      </c>
      <c r="I465">
        <v>7464.6</v>
      </c>
      <c r="J465">
        <v>26</v>
      </c>
      <c r="K465">
        <v>1330.8</v>
      </c>
      <c r="L465">
        <v>17.82170262</v>
      </c>
      <c r="M465">
        <v>6136.5</v>
      </c>
      <c r="N465">
        <v>82.178297380000004</v>
      </c>
    </row>
    <row r="466" spans="1:14" x14ac:dyDescent="0.35">
      <c r="A466" t="s">
        <v>557</v>
      </c>
      <c r="B466" t="s">
        <v>15</v>
      </c>
      <c r="C466" t="s">
        <v>22</v>
      </c>
      <c r="D466" t="s">
        <v>17</v>
      </c>
      <c r="E466" t="s">
        <v>23</v>
      </c>
      <c r="F466" t="s">
        <v>49</v>
      </c>
      <c r="G466">
        <v>2014</v>
      </c>
      <c r="H466">
        <v>7453.2</v>
      </c>
      <c r="I466">
        <v>2524.9</v>
      </c>
      <c r="J466">
        <v>4942.3999999999996</v>
      </c>
      <c r="K466">
        <v>6424.3</v>
      </c>
      <c r="L466">
        <v>86.19519133</v>
      </c>
      <c r="M466">
        <v>1028.9000000000001</v>
      </c>
      <c r="N466">
        <v>13.80480867</v>
      </c>
    </row>
    <row r="467" spans="1:14" x14ac:dyDescent="0.35">
      <c r="A467" t="s">
        <v>558</v>
      </c>
      <c r="B467" t="s">
        <v>15</v>
      </c>
      <c r="C467" t="s">
        <v>22</v>
      </c>
      <c r="D467" t="s">
        <v>17</v>
      </c>
      <c r="E467" t="s">
        <v>99</v>
      </c>
      <c r="F467" t="s">
        <v>19</v>
      </c>
      <c r="G467">
        <v>1955</v>
      </c>
      <c r="H467">
        <v>7450.6</v>
      </c>
      <c r="I467">
        <v>6491.8</v>
      </c>
      <c r="J467">
        <v>961.4</v>
      </c>
      <c r="K467">
        <v>5866.4</v>
      </c>
      <c r="L467">
        <v>78.737282899999997</v>
      </c>
      <c r="M467">
        <v>1584.2</v>
      </c>
      <c r="N467">
        <v>21.2627171</v>
      </c>
    </row>
    <row r="468" spans="1:14" x14ac:dyDescent="0.35">
      <c r="A468" t="s">
        <v>559</v>
      </c>
      <c r="B468" t="s">
        <v>15</v>
      </c>
      <c r="C468" t="s">
        <v>22</v>
      </c>
      <c r="D468" t="s">
        <v>17</v>
      </c>
      <c r="E468" t="s">
        <v>18</v>
      </c>
      <c r="F468" t="s">
        <v>19</v>
      </c>
      <c r="G468">
        <v>2007</v>
      </c>
      <c r="H468">
        <v>7431.9</v>
      </c>
      <c r="I468">
        <v>6391.9</v>
      </c>
      <c r="J468">
        <v>1058.7</v>
      </c>
      <c r="K468">
        <v>528.20000000000005</v>
      </c>
      <c r="L468">
        <v>7.1072000429999997</v>
      </c>
      <c r="M468">
        <v>6903.7</v>
      </c>
      <c r="N468">
        <v>92.892799960000005</v>
      </c>
    </row>
    <row r="469" spans="1:14" x14ac:dyDescent="0.35">
      <c r="A469" t="s">
        <v>560</v>
      </c>
      <c r="B469" t="s">
        <v>15</v>
      </c>
      <c r="C469" t="s">
        <v>22</v>
      </c>
      <c r="D469" t="s">
        <v>17</v>
      </c>
      <c r="E469" t="s">
        <v>99</v>
      </c>
      <c r="F469" t="s">
        <v>19</v>
      </c>
      <c r="G469">
        <v>2005</v>
      </c>
      <c r="H469">
        <v>7423.5</v>
      </c>
      <c r="I469">
        <v>7117.2</v>
      </c>
      <c r="J469">
        <v>319.89999999999998</v>
      </c>
      <c r="K469">
        <v>6510.5</v>
      </c>
      <c r="L469">
        <v>87.701219100000003</v>
      </c>
      <c r="M469">
        <v>913</v>
      </c>
      <c r="N469">
        <v>12.298780900000001</v>
      </c>
    </row>
    <row r="470" spans="1:14" x14ac:dyDescent="0.35">
      <c r="A470" t="s">
        <v>561</v>
      </c>
      <c r="B470" t="s">
        <v>15</v>
      </c>
      <c r="C470" t="s">
        <v>167</v>
      </c>
      <c r="D470" t="s">
        <v>168</v>
      </c>
      <c r="E470" t="s">
        <v>169</v>
      </c>
      <c r="F470" t="s">
        <v>19</v>
      </c>
      <c r="G470">
        <v>2009</v>
      </c>
      <c r="H470">
        <v>7416.8</v>
      </c>
      <c r="I470">
        <v>4668.1000000000004</v>
      </c>
      <c r="J470">
        <v>2767</v>
      </c>
      <c r="K470">
        <v>4913.6000000000004</v>
      </c>
      <c r="L470">
        <v>66.249595510000006</v>
      </c>
      <c r="M470">
        <v>2503.1999999999998</v>
      </c>
      <c r="N470">
        <v>33.750404490000001</v>
      </c>
    </row>
    <row r="471" spans="1:14" x14ac:dyDescent="0.35">
      <c r="A471" t="s">
        <v>562</v>
      </c>
      <c r="B471" t="s">
        <v>15</v>
      </c>
      <c r="C471" t="s">
        <v>223</v>
      </c>
      <c r="D471" t="s">
        <v>25</v>
      </c>
      <c r="E471" t="s">
        <v>18</v>
      </c>
      <c r="F471" t="s">
        <v>19</v>
      </c>
      <c r="G471">
        <v>2017</v>
      </c>
      <c r="H471">
        <v>7405.6</v>
      </c>
      <c r="I471">
        <v>6405.3</v>
      </c>
      <c r="J471">
        <v>1014.5</v>
      </c>
      <c r="K471">
        <v>639.20000000000005</v>
      </c>
      <c r="L471">
        <v>8.631306039</v>
      </c>
      <c r="M471">
        <v>6766.4</v>
      </c>
      <c r="N471">
        <v>91.368693960000002</v>
      </c>
    </row>
    <row r="472" spans="1:14" x14ac:dyDescent="0.35">
      <c r="A472" t="s">
        <v>563</v>
      </c>
      <c r="B472" t="s">
        <v>21</v>
      </c>
      <c r="C472" t="s">
        <v>167</v>
      </c>
      <c r="D472" t="s">
        <v>168</v>
      </c>
      <c r="E472" t="s">
        <v>169</v>
      </c>
      <c r="F472" t="s">
        <v>49</v>
      </c>
      <c r="G472">
        <v>2013</v>
      </c>
      <c r="H472">
        <v>7388.4</v>
      </c>
      <c r="I472">
        <v>3471.7</v>
      </c>
      <c r="J472">
        <v>3933.9</v>
      </c>
      <c r="K472">
        <v>2317.8000000000002</v>
      </c>
      <c r="L472">
        <v>31.370797469999999</v>
      </c>
      <c r="M472">
        <v>5070.6000000000004</v>
      </c>
      <c r="N472">
        <v>68.629202530000001</v>
      </c>
    </row>
    <row r="473" spans="1:14" x14ac:dyDescent="0.35">
      <c r="A473" t="s">
        <v>564</v>
      </c>
      <c r="B473" t="s">
        <v>15</v>
      </c>
      <c r="C473" t="s">
        <v>167</v>
      </c>
      <c r="D473" t="s">
        <v>168</v>
      </c>
      <c r="E473" t="s">
        <v>83</v>
      </c>
      <c r="F473" t="s">
        <v>19</v>
      </c>
      <c r="G473">
        <v>2015</v>
      </c>
      <c r="H473">
        <v>7387.8</v>
      </c>
      <c r="I473">
        <v>2807.5</v>
      </c>
      <c r="J473">
        <v>4581</v>
      </c>
      <c r="K473">
        <v>359.7</v>
      </c>
      <c r="L473">
        <v>4.8688378139999999</v>
      </c>
      <c r="M473">
        <v>7028.1</v>
      </c>
      <c r="N473">
        <v>95.131162189999998</v>
      </c>
    </row>
    <row r="474" spans="1:14" x14ac:dyDescent="0.35">
      <c r="A474" t="s">
        <v>565</v>
      </c>
      <c r="B474" t="s">
        <v>15</v>
      </c>
      <c r="C474" t="s">
        <v>223</v>
      </c>
      <c r="D474" t="s">
        <v>25</v>
      </c>
      <c r="E474" t="s">
        <v>18</v>
      </c>
      <c r="F474" t="s">
        <v>19</v>
      </c>
      <c r="G474">
        <v>2018</v>
      </c>
      <c r="H474">
        <v>7377.9</v>
      </c>
      <c r="I474">
        <v>4274.5</v>
      </c>
      <c r="J474">
        <v>3113.3</v>
      </c>
      <c r="K474">
        <v>716.5</v>
      </c>
      <c r="L474">
        <v>9.7114355030000006</v>
      </c>
      <c r="M474">
        <v>6661.4</v>
      </c>
      <c r="N474">
        <v>90.288564500000007</v>
      </c>
    </row>
    <row r="475" spans="1:14" x14ac:dyDescent="0.35">
      <c r="A475" t="s">
        <v>566</v>
      </c>
      <c r="B475" t="s">
        <v>15</v>
      </c>
      <c r="C475" t="s">
        <v>34</v>
      </c>
      <c r="D475" t="s">
        <v>17</v>
      </c>
      <c r="E475" t="s">
        <v>23</v>
      </c>
      <c r="F475" t="s">
        <v>19</v>
      </c>
      <c r="G475">
        <v>2012</v>
      </c>
      <c r="H475">
        <v>7352.6</v>
      </c>
      <c r="I475">
        <v>3894</v>
      </c>
      <c r="J475">
        <v>3483.8</v>
      </c>
      <c r="K475">
        <v>6069.3</v>
      </c>
      <c r="L475">
        <v>82.546310149999996</v>
      </c>
      <c r="M475">
        <v>1283.3</v>
      </c>
      <c r="N475">
        <v>17.45368985</v>
      </c>
    </row>
    <row r="476" spans="1:14" x14ac:dyDescent="0.35">
      <c r="A476" t="s">
        <v>567</v>
      </c>
      <c r="B476" t="s">
        <v>79</v>
      </c>
      <c r="C476" t="s">
        <v>22</v>
      </c>
      <c r="D476" t="s">
        <v>17</v>
      </c>
      <c r="E476" t="s">
        <v>18</v>
      </c>
      <c r="F476" t="s">
        <v>49</v>
      </c>
      <c r="G476">
        <v>2009</v>
      </c>
      <c r="H476">
        <v>7347.9</v>
      </c>
      <c r="I476">
        <v>6711.8</v>
      </c>
      <c r="J476">
        <v>643.70000000000005</v>
      </c>
      <c r="K476">
        <v>114.9</v>
      </c>
      <c r="L476">
        <v>1.563712081</v>
      </c>
      <c r="M476">
        <v>7233</v>
      </c>
      <c r="N476">
        <v>98.436287919999998</v>
      </c>
    </row>
    <row r="477" spans="1:14" x14ac:dyDescent="0.35">
      <c r="A477" t="s">
        <v>568</v>
      </c>
      <c r="B477" t="s">
        <v>15</v>
      </c>
      <c r="C477" t="s">
        <v>22</v>
      </c>
      <c r="D477" t="s">
        <v>17</v>
      </c>
      <c r="E477" t="s">
        <v>99</v>
      </c>
      <c r="F477" t="s">
        <v>19</v>
      </c>
      <c r="G477">
        <v>2012</v>
      </c>
      <c r="H477">
        <v>7337.5</v>
      </c>
      <c r="I477">
        <v>3928</v>
      </c>
      <c r="J477">
        <v>3422.3</v>
      </c>
      <c r="K477">
        <v>5340.9</v>
      </c>
      <c r="L477">
        <v>72.789097100000006</v>
      </c>
      <c r="M477">
        <v>1996.6</v>
      </c>
      <c r="N477">
        <v>27.210902900000001</v>
      </c>
    </row>
    <row r="478" spans="1:14" x14ac:dyDescent="0.35">
      <c r="A478" t="s">
        <v>569</v>
      </c>
      <c r="B478" t="s">
        <v>21</v>
      </c>
      <c r="C478" t="s">
        <v>570</v>
      </c>
      <c r="D478" t="s">
        <v>17</v>
      </c>
      <c r="E478" t="s">
        <v>23</v>
      </c>
      <c r="F478" t="s">
        <v>19</v>
      </c>
      <c r="G478">
        <v>2006</v>
      </c>
      <c r="H478">
        <v>7335.2</v>
      </c>
      <c r="I478">
        <v>6735.6</v>
      </c>
      <c r="J478">
        <v>602</v>
      </c>
      <c r="K478">
        <v>1341.8</v>
      </c>
      <c r="L478">
        <v>18.292616420000002</v>
      </c>
      <c r="M478">
        <v>5993.4</v>
      </c>
      <c r="N478">
        <v>81.707383579999998</v>
      </c>
    </row>
    <row r="479" spans="1:14" x14ac:dyDescent="0.35">
      <c r="A479" t="s">
        <v>571</v>
      </c>
      <c r="B479" t="s">
        <v>15</v>
      </c>
      <c r="C479" t="s">
        <v>22</v>
      </c>
      <c r="D479" t="s">
        <v>17</v>
      </c>
      <c r="E479" t="s">
        <v>292</v>
      </c>
      <c r="F479" t="s">
        <v>49</v>
      </c>
      <c r="G479">
        <v>2007</v>
      </c>
      <c r="H479">
        <v>7326.6</v>
      </c>
      <c r="I479">
        <v>1671.1</v>
      </c>
      <c r="J479">
        <v>5664.1</v>
      </c>
      <c r="K479">
        <v>6816.6</v>
      </c>
      <c r="L479">
        <v>93.039063139999996</v>
      </c>
      <c r="M479">
        <v>510</v>
      </c>
      <c r="N479">
        <v>6.9609368600000003</v>
      </c>
    </row>
    <row r="480" spans="1:14" x14ac:dyDescent="0.35">
      <c r="A480" t="s">
        <v>572</v>
      </c>
      <c r="B480" t="s">
        <v>15</v>
      </c>
      <c r="C480" t="s">
        <v>22</v>
      </c>
      <c r="D480" t="s">
        <v>17</v>
      </c>
      <c r="E480" t="s">
        <v>99</v>
      </c>
      <c r="F480" t="s">
        <v>19</v>
      </c>
      <c r="G480">
        <v>2014</v>
      </c>
      <c r="H480">
        <v>7313.2</v>
      </c>
      <c r="I480">
        <v>7318.3</v>
      </c>
      <c r="J480">
        <v>8.3000000000000007</v>
      </c>
      <c r="K480">
        <v>2901.6</v>
      </c>
      <c r="L480">
        <v>39.676201939999999</v>
      </c>
      <c r="M480">
        <v>4411.6000000000004</v>
      </c>
      <c r="N480">
        <v>60.323798060000001</v>
      </c>
    </row>
    <row r="481" spans="1:14" x14ac:dyDescent="0.35">
      <c r="A481" t="s">
        <v>573</v>
      </c>
      <c r="B481" t="s">
        <v>21</v>
      </c>
      <c r="C481" t="s">
        <v>574</v>
      </c>
      <c r="D481" t="s">
        <v>17</v>
      </c>
      <c r="E481" t="s">
        <v>23</v>
      </c>
      <c r="F481" t="s">
        <v>19</v>
      </c>
      <c r="G481">
        <v>2020</v>
      </c>
      <c r="H481">
        <v>7286.8</v>
      </c>
      <c r="I481">
        <v>4703.7</v>
      </c>
      <c r="J481">
        <v>2609.5</v>
      </c>
      <c r="K481">
        <v>6083.2</v>
      </c>
      <c r="L481">
        <v>83.482461439999994</v>
      </c>
      <c r="M481">
        <v>1203.5999999999999</v>
      </c>
      <c r="N481">
        <v>16.517538559999998</v>
      </c>
    </row>
    <row r="482" spans="1:14" x14ac:dyDescent="0.35">
      <c r="A482" t="s">
        <v>575</v>
      </c>
      <c r="B482" t="s">
        <v>15</v>
      </c>
      <c r="C482" t="s">
        <v>167</v>
      </c>
      <c r="D482" t="s">
        <v>168</v>
      </c>
      <c r="E482" t="s">
        <v>83</v>
      </c>
      <c r="F482" t="s">
        <v>49</v>
      </c>
      <c r="G482">
        <v>2016</v>
      </c>
      <c r="H482">
        <v>7277.6</v>
      </c>
      <c r="I482">
        <v>6836.9</v>
      </c>
      <c r="J482">
        <v>455.9</v>
      </c>
      <c r="K482">
        <v>3003</v>
      </c>
      <c r="L482">
        <v>41.26360339</v>
      </c>
      <c r="M482">
        <v>4274.6000000000004</v>
      </c>
      <c r="N482">
        <v>58.73639661</v>
      </c>
    </row>
    <row r="483" spans="1:14" x14ac:dyDescent="0.35">
      <c r="A483" t="s">
        <v>576</v>
      </c>
      <c r="B483" t="s">
        <v>21</v>
      </c>
      <c r="C483" t="s">
        <v>223</v>
      </c>
      <c r="D483" t="s">
        <v>25</v>
      </c>
      <c r="E483" t="s">
        <v>83</v>
      </c>
      <c r="F483" t="s">
        <v>19</v>
      </c>
      <c r="G483">
        <v>2019</v>
      </c>
      <c r="H483">
        <v>7256.2</v>
      </c>
      <c r="I483">
        <v>2470.4</v>
      </c>
      <c r="J483">
        <v>4785.8</v>
      </c>
      <c r="K483">
        <v>976.1</v>
      </c>
      <c r="L483">
        <v>13.45194454</v>
      </c>
      <c r="M483">
        <v>6280.1</v>
      </c>
      <c r="N483">
        <v>86.54805546</v>
      </c>
    </row>
    <row r="484" spans="1:14" x14ac:dyDescent="0.35">
      <c r="A484" t="s">
        <v>577</v>
      </c>
      <c r="B484" t="s">
        <v>15</v>
      </c>
      <c r="C484" t="s">
        <v>22</v>
      </c>
      <c r="D484" t="s">
        <v>17</v>
      </c>
      <c r="E484" t="s">
        <v>18</v>
      </c>
      <c r="F484" t="s">
        <v>19</v>
      </c>
      <c r="G484">
        <v>2012</v>
      </c>
      <c r="H484">
        <v>7252.1</v>
      </c>
      <c r="I484">
        <v>4583.7</v>
      </c>
      <c r="J484">
        <v>2668.4</v>
      </c>
      <c r="K484">
        <v>2499</v>
      </c>
      <c r="L484">
        <v>34.458984289999997</v>
      </c>
      <c r="M484">
        <v>4753.1000000000004</v>
      </c>
      <c r="N484">
        <v>65.541015709999996</v>
      </c>
    </row>
    <row r="485" spans="1:14" x14ac:dyDescent="0.35">
      <c r="A485" t="s">
        <v>578</v>
      </c>
      <c r="B485" t="s">
        <v>21</v>
      </c>
      <c r="C485" t="s">
        <v>408</v>
      </c>
      <c r="D485" t="s">
        <v>409</v>
      </c>
      <c r="E485" t="s">
        <v>23</v>
      </c>
      <c r="F485" t="s">
        <v>19</v>
      </c>
      <c r="G485">
        <v>1997</v>
      </c>
      <c r="H485">
        <v>7239.7</v>
      </c>
      <c r="I485">
        <v>0</v>
      </c>
      <c r="J485">
        <v>7239.7</v>
      </c>
      <c r="K485">
        <v>0</v>
      </c>
      <c r="L485">
        <v>0</v>
      </c>
      <c r="M485">
        <v>7239.7</v>
      </c>
      <c r="N485">
        <v>100</v>
      </c>
    </row>
    <row r="486" spans="1:14" x14ac:dyDescent="0.35">
      <c r="A486" t="s">
        <v>579</v>
      </c>
      <c r="B486" t="s">
        <v>15</v>
      </c>
      <c r="C486" t="s">
        <v>22</v>
      </c>
      <c r="D486" t="s">
        <v>17</v>
      </c>
      <c r="E486" t="s">
        <v>18</v>
      </c>
      <c r="F486" t="s">
        <v>19</v>
      </c>
      <c r="G486">
        <v>2008</v>
      </c>
      <c r="H486">
        <v>7237.6</v>
      </c>
      <c r="I486">
        <v>0</v>
      </c>
      <c r="J486">
        <v>7237.6</v>
      </c>
      <c r="K486">
        <v>0</v>
      </c>
      <c r="L486">
        <v>0</v>
      </c>
      <c r="M486">
        <v>7237.6</v>
      </c>
      <c r="N486">
        <v>100</v>
      </c>
    </row>
    <row r="487" spans="1:14" x14ac:dyDescent="0.35">
      <c r="A487" t="s">
        <v>580</v>
      </c>
      <c r="B487" t="s">
        <v>15</v>
      </c>
      <c r="C487" t="s">
        <v>243</v>
      </c>
      <c r="D487" t="s">
        <v>25</v>
      </c>
      <c r="E487" t="s">
        <v>18</v>
      </c>
      <c r="F487" t="s">
        <v>19</v>
      </c>
      <c r="G487">
        <v>2018</v>
      </c>
      <c r="H487">
        <v>7209.6</v>
      </c>
      <c r="I487">
        <v>3303.8</v>
      </c>
      <c r="J487">
        <v>3905.7</v>
      </c>
      <c r="K487">
        <v>2183.8000000000002</v>
      </c>
      <c r="L487">
        <v>30.290168659999999</v>
      </c>
      <c r="M487">
        <v>5025.8</v>
      </c>
      <c r="N487">
        <v>69.709831339999994</v>
      </c>
    </row>
    <row r="488" spans="1:14" x14ac:dyDescent="0.35">
      <c r="A488" t="s">
        <v>581</v>
      </c>
      <c r="B488" t="s">
        <v>15</v>
      </c>
      <c r="C488" t="s">
        <v>34</v>
      </c>
      <c r="D488" t="s">
        <v>17</v>
      </c>
      <c r="E488" t="s">
        <v>23</v>
      </c>
      <c r="F488" t="s">
        <v>19</v>
      </c>
      <c r="G488">
        <v>2016</v>
      </c>
      <c r="H488">
        <v>7192.6</v>
      </c>
      <c r="I488">
        <v>4689.2</v>
      </c>
      <c r="J488">
        <v>2505.3000000000002</v>
      </c>
      <c r="K488">
        <v>3982.2</v>
      </c>
      <c r="L488">
        <v>55.365236490000001</v>
      </c>
      <c r="M488">
        <v>3210.4</v>
      </c>
      <c r="N488">
        <v>44.634763509999999</v>
      </c>
    </row>
    <row r="489" spans="1:14" x14ac:dyDescent="0.35">
      <c r="A489" t="s">
        <v>582</v>
      </c>
      <c r="B489" t="s">
        <v>15</v>
      </c>
      <c r="C489" t="s">
        <v>46</v>
      </c>
      <c r="D489" t="s">
        <v>47</v>
      </c>
      <c r="E489" t="s">
        <v>48</v>
      </c>
      <c r="F489" t="s">
        <v>49</v>
      </c>
      <c r="G489">
        <v>2019</v>
      </c>
      <c r="H489">
        <v>7182.1</v>
      </c>
      <c r="I489">
        <v>6877.5</v>
      </c>
      <c r="J489">
        <v>304.7</v>
      </c>
      <c r="K489">
        <v>6118.4</v>
      </c>
      <c r="L489">
        <v>85.189568510000001</v>
      </c>
      <c r="M489">
        <v>1063.7</v>
      </c>
      <c r="N489">
        <v>14.810431489999999</v>
      </c>
    </row>
    <row r="490" spans="1:14" x14ac:dyDescent="0.35">
      <c r="A490" t="s">
        <v>583</v>
      </c>
      <c r="B490" t="s">
        <v>15</v>
      </c>
      <c r="C490" t="s">
        <v>90</v>
      </c>
      <c r="D490" t="s">
        <v>25</v>
      </c>
      <c r="E490" t="s">
        <v>91</v>
      </c>
      <c r="F490" t="s">
        <v>49</v>
      </c>
      <c r="G490">
        <v>2015</v>
      </c>
      <c r="H490">
        <v>7123.4</v>
      </c>
      <c r="I490">
        <v>5595.9</v>
      </c>
      <c r="J490">
        <v>1527.5</v>
      </c>
      <c r="K490">
        <v>3002</v>
      </c>
      <c r="L490">
        <v>42.14279698</v>
      </c>
      <c r="M490">
        <v>4121.3999999999996</v>
      </c>
      <c r="N490">
        <v>57.85720302</v>
      </c>
    </row>
    <row r="491" spans="1:14" x14ac:dyDescent="0.35">
      <c r="A491" t="s">
        <v>584</v>
      </c>
      <c r="B491" t="s">
        <v>15</v>
      </c>
      <c r="C491" t="s">
        <v>22</v>
      </c>
      <c r="D491" t="s">
        <v>17</v>
      </c>
      <c r="E491" t="s">
        <v>23</v>
      </c>
      <c r="F491" t="s">
        <v>19</v>
      </c>
      <c r="G491">
        <v>2007</v>
      </c>
      <c r="H491">
        <v>7114.1</v>
      </c>
      <c r="I491">
        <v>4400.3</v>
      </c>
      <c r="J491">
        <v>2716</v>
      </c>
      <c r="K491">
        <v>3.9</v>
      </c>
      <c r="L491">
        <v>5.4820708170000003E-2</v>
      </c>
      <c r="M491">
        <v>7110.2</v>
      </c>
      <c r="N491">
        <v>99.945179289999999</v>
      </c>
    </row>
    <row r="492" spans="1:14" x14ac:dyDescent="0.35">
      <c r="A492" t="s">
        <v>585</v>
      </c>
      <c r="B492" t="s">
        <v>15</v>
      </c>
      <c r="C492" t="s">
        <v>22</v>
      </c>
      <c r="D492" t="s">
        <v>17</v>
      </c>
      <c r="E492" t="s">
        <v>18</v>
      </c>
      <c r="F492" t="s">
        <v>19</v>
      </c>
      <c r="G492">
        <v>2010</v>
      </c>
      <c r="H492">
        <v>7073.7</v>
      </c>
      <c r="I492">
        <v>2882.3</v>
      </c>
      <c r="J492">
        <v>4191.3999999999996</v>
      </c>
      <c r="K492">
        <v>1158.3</v>
      </c>
      <c r="L492">
        <v>16.37474023</v>
      </c>
      <c r="M492">
        <v>5915.4</v>
      </c>
      <c r="N492">
        <v>83.62525977</v>
      </c>
    </row>
    <row r="493" spans="1:14" x14ac:dyDescent="0.35">
      <c r="A493" t="s">
        <v>586</v>
      </c>
      <c r="B493" t="s">
        <v>15</v>
      </c>
      <c r="C493" t="s">
        <v>22</v>
      </c>
      <c r="D493" t="s">
        <v>17</v>
      </c>
      <c r="E493" t="s">
        <v>18</v>
      </c>
      <c r="F493" t="s">
        <v>19</v>
      </c>
      <c r="G493">
        <v>2017</v>
      </c>
      <c r="H493">
        <v>7061.3</v>
      </c>
      <c r="I493">
        <v>7067.3</v>
      </c>
      <c r="J493">
        <v>0</v>
      </c>
      <c r="K493">
        <v>4346.8</v>
      </c>
      <c r="L493">
        <v>61.558070039999997</v>
      </c>
      <c r="M493">
        <v>2714.5</v>
      </c>
      <c r="N493">
        <v>38.441929960000003</v>
      </c>
    </row>
    <row r="494" spans="1:14" x14ac:dyDescent="0.35">
      <c r="A494" t="s">
        <v>587</v>
      </c>
      <c r="B494" t="s">
        <v>15</v>
      </c>
      <c r="C494" t="s">
        <v>90</v>
      </c>
      <c r="D494" t="s">
        <v>25</v>
      </c>
      <c r="E494" t="s">
        <v>83</v>
      </c>
      <c r="F494" t="s">
        <v>19</v>
      </c>
      <c r="G494">
        <v>1971</v>
      </c>
      <c r="H494">
        <v>7059.2</v>
      </c>
      <c r="I494">
        <v>6505.8</v>
      </c>
      <c r="J494">
        <v>557.1</v>
      </c>
      <c r="K494">
        <v>5676.3</v>
      </c>
      <c r="L494">
        <v>80.409961469999999</v>
      </c>
      <c r="M494">
        <v>1382.9</v>
      </c>
      <c r="N494">
        <v>19.590038530000001</v>
      </c>
    </row>
    <row r="495" spans="1:14" x14ac:dyDescent="0.35">
      <c r="A495" t="s">
        <v>588</v>
      </c>
      <c r="B495" t="s">
        <v>15</v>
      </c>
      <c r="C495" t="s">
        <v>90</v>
      </c>
      <c r="D495" t="s">
        <v>25</v>
      </c>
      <c r="E495" t="s">
        <v>83</v>
      </c>
      <c r="F495" t="s">
        <v>49</v>
      </c>
      <c r="G495">
        <v>1977</v>
      </c>
      <c r="H495">
        <v>7059.2</v>
      </c>
      <c r="I495">
        <v>6607.2</v>
      </c>
      <c r="J495">
        <v>446.9</v>
      </c>
      <c r="K495">
        <v>7059.2</v>
      </c>
      <c r="L495">
        <v>100</v>
      </c>
      <c r="M495">
        <v>0</v>
      </c>
      <c r="N495">
        <v>0</v>
      </c>
    </row>
    <row r="496" spans="1:14" x14ac:dyDescent="0.35">
      <c r="A496" t="s">
        <v>589</v>
      </c>
      <c r="B496" t="s">
        <v>15</v>
      </c>
      <c r="C496" t="s">
        <v>22</v>
      </c>
      <c r="D496" t="s">
        <v>17</v>
      </c>
      <c r="E496" t="s">
        <v>23</v>
      </c>
      <c r="F496" t="s">
        <v>19</v>
      </c>
      <c r="G496">
        <v>2002</v>
      </c>
      <c r="H496">
        <v>7048.5</v>
      </c>
      <c r="I496">
        <v>6851.4</v>
      </c>
      <c r="J496">
        <v>199.1</v>
      </c>
      <c r="K496">
        <v>5805</v>
      </c>
      <c r="L496">
        <v>82.357948500000006</v>
      </c>
      <c r="M496">
        <v>1243.5</v>
      </c>
      <c r="N496">
        <v>17.642051500000001</v>
      </c>
    </row>
    <row r="497" spans="1:14" x14ac:dyDescent="0.35">
      <c r="A497" t="s">
        <v>590</v>
      </c>
      <c r="B497" t="s">
        <v>15</v>
      </c>
      <c r="C497" t="s">
        <v>34</v>
      </c>
      <c r="D497" t="s">
        <v>17</v>
      </c>
      <c r="E497" t="s">
        <v>52</v>
      </c>
      <c r="F497" t="s">
        <v>49</v>
      </c>
      <c r="G497">
        <v>1979</v>
      </c>
      <c r="H497">
        <v>7034.1</v>
      </c>
      <c r="I497">
        <v>7035</v>
      </c>
      <c r="J497">
        <v>3.3</v>
      </c>
      <c r="K497">
        <v>6940.1</v>
      </c>
      <c r="L497">
        <v>98.663652780000007</v>
      </c>
      <c r="M497">
        <v>94</v>
      </c>
      <c r="N497">
        <v>1.336347223</v>
      </c>
    </row>
    <row r="498" spans="1:14" x14ac:dyDescent="0.35">
      <c r="A498" t="s">
        <v>591</v>
      </c>
      <c r="B498" t="s">
        <v>79</v>
      </c>
      <c r="C498" t="s">
        <v>22</v>
      </c>
      <c r="D498" t="s">
        <v>17</v>
      </c>
      <c r="E498" t="s">
        <v>23</v>
      </c>
      <c r="F498" t="s">
        <v>49</v>
      </c>
      <c r="G498">
        <v>2017</v>
      </c>
      <c r="H498">
        <v>7029.1</v>
      </c>
      <c r="I498">
        <v>5774.4</v>
      </c>
      <c r="J498">
        <v>1261.4000000000001</v>
      </c>
      <c r="K498">
        <v>5705.9</v>
      </c>
      <c r="L498">
        <v>81.175399409999997</v>
      </c>
      <c r="M498">
        <v>1323.2</v>
      </c>
      <c r="N498">
        <v>18.824600589999999</v>
      </c>
    </row>
    <row r="499" spans="1:14" x14ac:dyDescent="0.35">
      <c r="A499" t="s">
        <v>592</v>
      </c>
      <c r="B499" t="s">
        <v>15</v>
      </c>
      <c r="C499" t="s">
        <v>22</v>
      </c>
      <c r="D499" t="s">
        <v>17</v>
      </c>
      <c r="E499" t="s">
        <v>593</v>
      </c>
      <c r="F499" t="s">
        <v>49</v>
      </c>
      <c r="G499">
        <v>1997</v>
      </c>
      <c r="H499">
        <v>7018.9</v>
      </c>
      <c r="I499">
        <v>7018.4</v>
      </c>
      <c r="J499">
        <v>5.4</v>
      </c>
      <c r="K499">
        <v>6806</v>
      </c>
      <c r="L499">
        <v>96.966761169999998</v>
      </c>
      <c r="M499">
        <v>212.9</v>
      </c>
      <c r="N499">
        <v>3.0332388269999999</v>
      </c>
    </row>
    <row r="500" spans="1:14" x14ac:dyDescent="0.35">
      <c r="A500" t="s">
        <v>594</v>
      </c>
      <c r="B500" t="s">
        <v>15</v>
      </c>
      <c r="C500" t="s">
        <v>22</v>
      </c>
      <c r="D500" t="s">
        <v>17</v>
      </c>
      <c r="E500" t="s">
        <v>292</v>
      </c>
      <c r="F500" t="s">
        <v>49</v>
      </c>
      <c r="G500">
        <v>1994</v>
      </c>
      <c r="H500">
        <v>6976.4</v>
      </c>
      <c r="I500">
        <v>4188.3999999999996</v>
      </c>
      <c r="J500">
        <v>2798.5</v>
      </c>
      <c r="K500">
        <v>6414.9</v>
      </c>
      <c r="L500">
        <v>91.951436270000002</v>
      </c>
      <c r="M500">
        <v>561.5</v>
      </c>
      <c r="N500">
        <v>8.0485637289999996</v>
      </c>
    </row>
    <row r="501" spans="1:14" x14ac:dyDescent="0.35">
      <c r="A501" t="s">
        <v>595</v>
      </c>
      <c r="B501" t="s">
        <v>15</v>
      </c>
      <c r="C501" t="s">
        <v>22</v>
      </c>
      <c r="D501" t="s">
        <v>25</v>
      </c>
      <c r="E501" t="s">
        <v>26</v>
      </c>
      <c r="F501" t="s">
        <v>19</v>
      </c>
      <c r="G501">
        <v>2017</v>
      </c>
      <c r="H501">
        <v>6972</v>
      </c>
      <c r="I501">
        <v>6956</v>
      </c>
      <c r="J501">
        <v>20.3</v>
      </c>
      <c r="K501">
        <v>1876.2</v>
      </c>
      <c r="L501">
        <v>26.910499139999999</v>
      </c>
      <c r="M501">
        <v>5095.8</v>
      </c>
      <c r="N501">
        <v>73.089500860000001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A3E21-D48D-4758-AE9F-841E3AE36EB8}">
  <dimension ref="A1:A14"/>
  <sheetViews>
    <sheetView workbookViewId="0">
      <selection activeCell="A2" sqref="A2"/>
      <pivotSelection pane="bottomRight" showHeader="1" extendable="1" activeRow="1" click="1" r:id="rId3">
        <pivotArea dataOnly="0" outline="0" axis="axisValues" fieldPosition="0"/>
      </pivotSelection>
    </sheetView>
  </sheetViews>
  <sheetFormatPr defaultRowHeight="14.5" x14ac:dyDescent="0.35"/>
  <cols>
    <col min="1" max="1" width="19.7265625" bestFit="1" customWidth="1"/>
  </cols>
  <sheetData>
    <row r="1" spans="1:1" x14ac:dyDescent="0.35">
      <c r="A1" s="1" t="s">
        <v>597</v>
      </c>
    </row>
    <row r="2" spans="1:1" x14ac:dyDescent="0.35">
      <c r="A2" t="s">
        <v>598</v>
      </c>
    </row>
    <row r="3" spans="1:1" x14ac:dyDescent="0.35">
      <c r="A3" s="13">
        <v>8408802</v>
      </c>
    </row>
    <row r="4" spans="1:1" x14ac:dyDescent="0.35">
      <c r="A4" t="s">
        <v>599</v>
      </c>
    </row>
    <row r="5" spans="1:1" x14ac:dyDescent="0.35">
      <c r="A5" t="s">
        <v>601</v>
      </c>
    </row>
    <row r="6" spans="1:1" x14ac:dyDescent="0.35">
      <c r="A6" s="3">
        <v>8493.2160000000003</v>
      </c>
    </row>
    <row r="8" spans="1:1" x14ac:dyDescent="0.35">
      <c r="A8" t="s">
        <v>602</v>
      </c>
    </row>
    <row r="9" spans="1:1" x14ac:dyDescent="0.35">
      <c r="A9" t="s">
        <v>603</v>
      </c>
    </row>
    <row r="10" spans="1:1" x14ac:dyDescent="0.35">
      <c r="A10" s="13">
        <v>500</v>
      </c>
    </row>
    <row r="12" spans="1:1" x14ac:dyDescent="0.35">
      <c r="A12" t="s">
        <v>604</v>
      </c>
    </row>
    <row r="13" spans="1:1" x14ac:dyDescent="0.35">
      <c r="A13" t="s">
        <v>605</v>
      </c>
    </row>
    <row r="14" spans="1:1" x14ac:dyDescent="0.35">
      <c r="A14" s="3">
        <v>2005.346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134D-6ED5-4A7B-9A33-4E0BDBB9B0B6}">
  <dimension ref="A2:B140"/>
  <sheetViews>
    <sheetView topLeftCell="A109" workbookViewId="0">
      <selection activeCell="B126" sqref="B126"/>
    </sheetView>
  </sheetViews>
  <sheetFormatPr defaultRowHeight="14.5" x14ac:dyDescent="0.35"/>
  <cols>
    <col min="1" max="1" width="12.36328125" bestFit="1" customWidth="1"/>
    <col min="2" max="2" width="31.453125" bestFit="1" customWidth="1"/>
    <col min="3" max="9" width="1.81640625" bestFit="1" customWidth="1"/>
    <col min="10" max="31" width="2.81640625" bestFit="1" customWidth="1"/>
    <col min="32" max="109" width="3.81640625" bestFit="1" customWidth="1"/>
    <col min="110" max="386" width="4.81640625" bestFit="1" customWidth="1"/>
    <col min="387" max="452" width="5.81640625" bestFit="1" customWidth="1"/>
    <col min="453" max="453" width="10.7265625" bestFit="1" customWidth="1"/>
    <col min="454" max="454" width="11.36328125" bestFit="1" customWidth="1"/>
    <col min="455" max="455" width="12.54296875" bestFit="1" customWidth="1"/>
    <col min="456" max="456" width="15.453125" bestFit="1" customWidth="1"/>
    <col min="457" max="457" width="7.1796875" bestFit="1" customWidth="1"/>
    <col min="458" max="458" width="8.90625" bestFit="1" customWidth="1"/>
    <col min="459" max="459" width="9.6328125" bestFit="1" customWidth="1"/>
    <col min="460" max="460" width="4.1796875" bestFit="1" customWidth="1"/>
    <col min="461" max="461" width="12.08984375" bestFit="1" customWidth="1"/>
    <col min="462" max="462" width="9.36328125" bestFit="1" customWidth="1"/>
    <col min="463" max="463" width="22.90625" bestFit="1" customWidth="1"/>
    <col min="464" max="464" width="9.7265625" bestFit="1" customWidth="1"/>
    <col min="465" max="465" width="7.1796875" bestFit="1" customWidth="1"/>
    <col min="466" max="466" width="6.08984375" bestFit="1" customWidth="1"/>
    <col min="467" max="467" width="10.453125" bestFit="1" customWidth="1"/>
    <col min="468" max="468" width="11.36328125" bestFit="1" customWidth="1"/>
    <col min="469" max="469" width="10.36328125" bestFit="1" customWidth="1"/>
    <col min="470" max="470" width="6.36328125" bestFit="1" customWidth="1"/>
    <col min="471" max="471" width="16.08984375" bestFit="1" customWidth="1"/>
    <col min="472" max="472" width="6.26953125" bestFit="1" customWidth="1"/>
    <col min="473" max="473" width="11.36328125" bestFit="1" customWidth="1"/>
    <col min="474" max="474" width="4.6328125" bestFit="1" customWidth="1"/>
    <col min="475" max="475" width="15.90625" bestFit="1" customWidth="1"/>
    <col min="476" max="476" width="3.08984375" bestFit="1" customWidth="1"/>
    <col min="477" max="477" width="11.81640625" bestFit="1" customWidth="1"/>
    <col min="478" max="478" width="6.36328125" bestFit="1" customWidth="1"/>
    <col min="479" max="479" width="9" bestFit="1" customWidth="1"/>
    <col min="480" max="480" width="17.26953125" bestFit="1" customWidth="1"/>
    <col min="481" max="481" width="13.36328125" bestFit="1" customWidth="1"/>
    <col min="482" max="482" width="15.26953125" bestFit="1" customWidth="1"/>
    <col min="483" max="483" width="15.6328125" bestFit="1" customWidth="1"/>
    <col min="484" max="484" width="5.453125" bestFit="1" customWidth="1"/>
    <col min="485" max="485" width="13.54296875" bestFit="1" customWidth="1"/>
    <col min="486" max="486" width="10.08984375" bestFit="1" customWidth="1"/>
    <col min="487" max="487" width="6.453125" bestFit="1" customWidth="1"/>
    <col min="488" max="488" width="13.90625" bestFit="1" customWidth="1"/>
    <col min="489" max="489" width="6.453125" bestFit="1" customWidth="1"/>
    <col min="490" max="490" width="4.54296875" bestFit="1" customWidth="1"/>
    <col min="491" max="491" width="3.08984375" bestFit="1" customWidth="1"/>
    <col min="492" max="492" width="9.90625" bestFit="1" customWidth="1"/>
    <col min="493" max="493" width="10.54296875" bestFit="1" customWidth="1"/>
    <col min="494" max="494" width="25.26953125" bestFit="1" customWidth="1"/>
    <col min="495" max="495" width="19.1796875" bestFit="1" customWidth="1"/>
    <col min="496" max="496" width="10" bestFit="1" customWidth="1"/>
    <col min="497" max="497" width="11.36328125" bestFit="1" customWidth="1"/>
    <col min="498" max="498" width="5.26953125" bestFit="1" customWidth="1"/>
    <col min="499" max="499" width="5" bestFit="1" customWidth="1"/>
    <col min="500" max="500" width="4.453125" bestFit="1" customWidth="1"/>
    <col min="501" max="501" width="12.90625" bestFit="1" customWidth="1"/>
    <col min="502" max="502" width="10.7265625" bestFit="1" customWidth="1"/>
  </cols>
  <sheetData>
    <row r="2" spans="1:2" x14ac:dyDescent="0.35">
      <c r="A2" t="s">
        <v>608</v>
      </c>
    </row>
    <row r="3" spans="1:2" x14ac:dyDescent="0.35">
      <c r="A3" s="2" t="s">
        <v>606</v>
      </c>
      <c r="B3" t="s">
        <v>598</v>
      </c>
    </row>
    <row r="4" spans="1:2" x14ac:dyDescent="0.35">
      <c r="A4" s="4" t="s">
        <v>350</v>
      </c>
      <c r="B4" s="13">
        <v>21440</v>
      </c>
    </row>
    <row r="5" spans="1:2" x14ac:dyDescent="0.35">
      <c r="A5" s="4" t="s">
        <v>58</v>
      </c>
      <c r="B5" s="13">
        <v>148226</v>
      </c>
    </row>
    <row r="6" spans="1:2" x14ac:dyDescent="0.35">
      <c r="A6" s="4" t="s">
        <v>152</v>
      </c>
      <c r="B6" s="13">
        <v>40651</v>
      </c>
    </row>
    <row r="7" spans="1:2" x14ac:dyDescent="0.35">
      <c r="A7" s="4" t="s">
        <v>489</v>
      </c>
      <c r="B7" s="13">
        <v>8316</v>
      </c>
    </row>
    <row r="8" spans="1:2" x14ac:dyDescent="0.35">
      <c r="A8" s="4" t="s">
        <v>99</v>
      </c>
      <c r="B8" s="13">
        <v>130288</v>
      </c>
    </row>
    <row r="9" spans="1:2" x14ac:dyDescent="0.35">
      <c r="A9" s="4" t="s">
        <v>61</v>
      </c>
      <c r="B9" s="13">
        <v>367099</v>
      </c>
    </row>
    <row r="10" spans="1:2" x14ac:dyDescent="0.35">
      <c r="A10" s="4" t="s">
        <v>74</v>
      </c>
      <c r="B10" s="13">
        <v>151358</v>
      </c>
    </row>
    <row r="11" spans="1:2" x14ac:dyDescent="0.35">
      <c r="A11" s="4" t="s">
        <v>273</v>
      </c>
      <c r="B11" s="13">
        <v>39366</v>
      </c>
    </row>
    <row r="12" spans="1:2" x14ac:dyDescent="0.35">
      <c r="A12" s="4" t="s">
        <v>18</v>
      </c>
      <c r="B12" s="13">
        <v>2126059</v>
      </c>
    </row>
    <row r="13" spans="1:2" x14ac:dyDescent="0.35">
      <c r="A13" s="4" t="s">
        <v>48</v>
      </c>
      <c r="B13" s="13">
        <v>157338</v>
      </c>
    </row>
    <row r="14" spans="1:2" x14ac:dyDescent="0.35">
      <c r="A14" s="4" t="s">
        <v>83</v>
      </c>
      <c r="B14" s="13">
        <v>377962</v>
      </c>
    </row>
    <row r="15" spans="1:2" x14ac:dyDescent="0.35">
      <c r="A15" s="4" t="s">
        <v>292</v>
      </c>
      <c r="B15" s="13">
        <v>73598</v>
      </c>
    </row>
    <row r="16" spans="1:2" x14ac:dyDescent="0.35">
      <c r="A16" s="4" t="s">
        <v>593</v>
      </c>
      <c r="B16" s="13">
        <v>7019</v>
      </c>
    </row>
    <row r="17" spans="1:2" x14ac:dyDescent="0.35">
      <c r="A17" s="4" t="s">
        <v>23</v>
      </c>
      <c r="B17" s="13">
        <v>2003603</v>
      </c>
    </row>
    <row r="18" spans="1:2" x14ac:dyDescent="0.35">
      <c r="A18" s="4" t="s">
        <v>28</v>
      </c>
      <c r="B18" s="13">
        <v>570698</v>
      </c>
    </row>
    <row r="19" spans="1:2" x14ac:dyDescent="0.35">
      <c r="A19" s="4" t="s">
        <v>185</v>
      </c>
      <c r="B19" s="13">
        <v>33196</v>
      </c>
    </row>
    <row r="20" spans="1:2" x14ac:dyDescent="0.35">
      <c r="A20" s="4" t="s">
        <v>26</v>
      </c>
      <c r="B20" s="13">
        <v>888853</v>
      </c>
    </row>
    <row r="21" spans="1:2" x14ac:dyDescent="0.35">
      <c r="A21" s="4" t="s">
        <v>91</v>
      </c>
      <c r="B21" s="13">
        <v>256012</v>
      </c>
    </row>
    <row r="22" spans="1:2" x14ac:dyDescent="0.35">
      <c r="A22" s="4" t="s">
        <v>52</v>
      </c>
      <c r="B22" s="13">
        <v>812080</v>
      </c>
    </row>
    <row r="23" spans="1:2" x14ac:dyDescent="0.35">
      <c r="A23" s="4" t="s">
        <v>169</v>
      </c>
      <c r="B23" s="13">
        <v>104797</v>
      </c>
    </row>
    <row r="24" spans="1:2" x14ac:dyDescent="0.35">
      <c r="A24" s="4" t="s">
        <v>456</v>
      </c>
      <c r="B24" s="13">
        <v>25045</v>
      </c>
    </row>
    <row r="25" spans="1:2" x14ac:dyDescent="0.35">
      <c r="A25" s="4" t="s">
        <v>140</v>
      </c>
      <c r="B25" s="13">
        <v>41191</v>
      </c>
    </row>
    <row r="26" spans="1:2" x14ac:dyDescent="0.35">
      <c r="A26" s="4" t="s">
        <v>131</v>
      </c>
      <c r="B26" s="13">
        <v>24607</v>
      </c>
    </row>
    <row r="27" spans="1:2" x14ac:dyDescent="0.35">
      <c r="A27" s="4" t="s">
        <v>607</v>
      </c>
      <c r="B27" s="13">
        <v>8408802</v>
      </c>
    </row>
    <row r="30" spans="1:2" x14ac:dyDescent="0.35">
      <c r="A30" s="4" t="s">
        <v>609</v>
      </c>
    </row>
    <row r="31" spans="1:2" x14ac:dyDescent="0.35">
      <c r="A31" s="2" t="s">
        <v>606</v>
      </c>
      <c r="B31" t="s">
        <v>603</v>
      </c>
    </row>
    <row r="32" spans="1:2" x14ac:dyDescent="0.35">
      <c r="A32" s="4" t="s">
        <v>15</v>
      </c>
      <c r="B32" s="13">
        <v>390</v>
      </c>
    </row>
    <row r="33" spans="1:2" x14ac:dyDescent="0.35">
      <c r="A33" s="4" t="s">
        <v>21</v>
      </c>
      <c r="B33" s="13">
        <v>88</v>
      </c>
    </row>
    <row r="34" spans="1:2" x14ac:dyDescent="0.35">
      <c r="A34" s="4" t="s">
        <v>79</v>
      </c>
      <c r="B34" s="13">
        <v>22</v>
      </c>
    </row>
    <row r="35" spans="1:2" x14ac:dyDescent="0.35">
      <c r="A35" s="4" t="s">
        <v>607</v>
      </c>
      <c r="B35" s="13">
        <v>500</v>
      </c>
    </row>
    <row r="38" spans="1:2" x14ac:dyDescent="0.35">
      <c r="A38" t="str">
        <f t="shared" ref="A38:B40" si="0">A32</f>
        <v>Male</v>
      </c>
      <c r="B38">
        <f t="shared" si="0"/>
        <v>390</v>
      </c>
    </row>
    <row r="39" spans="1:2" x14ac:dyDescent="0.35">
      <c r="A39" t="str">
        <f t="shared" si="0"/>
        <v>Female</v>
      </c>
      <c r="B39">
        <f t="shared" si="0"/>
        <v>88</v>
      </c>
    </row>
    <row r="40" spans="1:2" x14ac:dyDescent="0.35">
      <c r="A40" t="str">
        <f t="shared" si="0"/>
        <v>Mixed</v>
      </c>
      <c r="B40">
        <f t="shared" si="0"/>
        <v>22</v>
      </c>
    </row>
    <row r="47" spans="1:2" x14ac:dyDescent="0.35">
      <c r="A47" t="s">
        <v>610</v>
      </c>
    </row>
    <row r="48" spans="1:2" x14ac:dyDescent="0.35">
      <c r="A48" s="2" t="s">
        <v>606</v>
      </c>
      <c r="B48" t="s">
        <v>603</v>
      </c>
    </row>
    <row r="49" spans="1:2" x14ac:dyDescent="0.35">
      <c r="A49" s="4">
        <v>1939</v>
      </c>
      <c r="B49" s="13">
        <v>1</v>
      </c>
    </row>
    <row r="50" spans="1:2" x14ac:dyDescent="0.35">
      <c r="A50" s="4">
        <v>1949</v>
      </c>
      <c r="B50" s="13">
        <v>1</v>
      </c>
    </row>
    <row r="51" spans="1:2" x14ac:dyDescent="0.35">
      <c r="A51" s="4">
        <v>1954</v>
      </c>
      <c r="B51" s="13">
        <v>1</v>
      </c>
    </row>
    <row r="52" spans="1:2" x14ac:dyDescent="0.35">
      <c r="A52" s="4">
        <v>1955</v>
      </c>
      <c r="B52" s="13">
        <v>1</v>
      </c>
    </row>
    <row r="53" spans="1:2" x14ac:dyDescent="0.35">
      <c r="A53" s="4">
        <v>1962</v>
      </c>
      <c r="B53" s="13">
        <v>3</v>
      </c>
    </row>
    <row r="54" spans="1:2" x14ac:dyDescent="0.35">
      <c r="A54" s="4">
        <v>1963</v>
      </c>
      <c r="B54" s="13">
        <v>1</v>
      </c>
    </row>
    <row r="55" spans="1:2" x14ac:dyDescent="0.35">
      <c r="A55" s="4">
        <v>1964</v>
      </c>
      <c r="B55" s="13">
        <v>2</v>
      </c>
    </row>
    <row r="56" spans="1:2" x14ac:dyDescent="0.35">
      <c r="A56" s="4">
        <v>1966</v>
      </c>
      <c r="B56" s="13">
        <v>1</v>
      </c>
    </row>
    <row r="57" spans="1:2" x14ac:dyDescent="0.35">
      <c r="A57" s="4">
        <v>1967</v>
      </c>
      <c r="B57" s="13">
        <v>3</v>
      </c>
    </row>
    <row r="58" spans="1:2" x14ac:dyDescent="0.35">
      <c r="A58" s="4">
        <v>1968</v>
      </c>
      <c r="B58" s="13">
        <v>1</v>
      </c>
    </row>
    <row r="59" spans="1:2" x14ac:dyDescent="0.35">
      <c r="A59" s="4">
        <v>1969</v>
      </c>
      <c r="B59" s="13">
        <v>2</v>
      </c>
    </row>
    <row r="60" spans="1:2" x14ac:dyDescent="0.35">
      <c r="A60" s="4">
        <v>1971</v>
      </c>
      <c r="B60" s="13">
        <v>2</v>
      </c>
    </row>
    <row r="61" spans="1:2" x14ac:dyDescent="0.35">
      <c r="A61" s="4">
        <v>1972</v>
      </c>
      <c r="B61" s="13">
        <v>2</v>
      </c>
    </row>
    <row r="62" spans="1:2" x14ac:dyDescent="0.35">
      <c r="A62" s="4">
        <v>1973</v>
      </c>
      <c r="B62" s="13">
        <v>3</v>
      </c>
    </row>
    <row r="63" spans="1:2" x14ac:dyDescent="0.35">
      <c r="A63" s="4">
        <v>1975</v>
      </c>
      <c r="B63" s="13">
        <v>2</v>
      </c>
    </row>
    <row r="64" spans="1:2" x14ac:dyDescent="0.35">
      <c r="A64" s="4">
        <v>1977</v>
      </c>
      <c r="B64" s="13">
        <v>3</v>
      </c>
    </row>
    <row r="65" spans="1:2" x14ac:dyDescent="0.35">
      <c r="A65" s="4">
        <v>1978</v>
      </c>
      <c r="B65" s="13">
        <v>1</v>
      </c>
    </row>
    <row r="66" spans="1:2" x14ac:dyDescent="0.35">
      <c r="A66" s="4">
        <v>1979</v>
      </c>
      <c r="B66" s="13">
        <v>3</v>
      </c>
    </row>
    <row r="67" spans="1:2" x14ac:dyDescent="0.35">
      <c r="A67" s="4">
        <v>1980</v>
      </c>
      <c r="B67" s="13">
        <v>4</v>
      </c>
    </row>
    <row r="68" spans="1:2" x14ac:dyDescent="0.35">
      <c r="A68" s="4">
        <v>1981</v>
      </c>
      <c r="B68" s="13">
        <v>2</v>
      </c>
    </row>
    <row r="69" spans="1:2" x14ac:dyDescent="0.35">
      <c r="A69" s="4">
        <v>1982</v>
      </c>
      <c r="B69" s="13">
        <v>3</v>
      </c>
    </row>
    <row r="70" spans="1:2" x14ac:dyDescent="0.35">
      <c r="A70" s="4">
        <v>1983</v>
      </c>
      <c r="B70" s="13">
        <v>2</v>
      </c>
    </row>
    <row r="71" spans="1:2" x14ac:dyDescent="0.35">
      <c r="A71" s="4">
        <v>1984</v>
      </c>
      <c r="B71" s="13">
        <v>3</v>
      </c>
    </row>
    <row r="72" spans="1:2" x14ac:dyDescent="0.35">
      <c r="A72" s="4">
        <v>1985</v>
      </c>
      <c r="B72" s="13">
        <v>3</v>
      </c>
    </row>
    <row r="73" spans="1:2" x14ac:dyDescent="0.35">
      <c r="A73" s="4">
        <v>1987</v>
      </c>
      <c r="B73" s="13">
        <v>1</v>
      </c>
    </row>
    <row r="74" spans="1:2" x14ac:dyDescent="0.35">
      <c r="A74" s="4">
        <v>1988</v>
      </c>
      <c r="B74" s="13">
        <v>2</v>
      </c>
    </row>
    <row r="75" spans="1:2" x14ac:dyDescent="0.35">
      <c r="A75" s="4">
        <v>1989</v>
      </c>
      <c r="B75" s="13">
        <v>3</v>
      </c>
    </row>
    <row r="76" spans="1:2" x14ac:dyDescent="0.35">
      <c r="A76" s="4">
        <v>1990</v>
      </c>
      <c r="B76" s="13">
        <v>3</v>
      </c>
    </row>
    <row r="77" spans="1:2" x14ac:dyDescent="0.35">
      <c r="A77" s="4">
        <v>1991</v>
      </c>
      <c r="B77" s="13">
        <v>5</v>
      </c>
    </row>
    <row r="78" spans="1:2" x14ac:dyDescent="0.35">
      <c r="A78" s="4">
        <v>1992</v>
      </c>
      <c r="B78" s="13">
        <v>4</v>
      </c>
    </row>
    <row r="79" spans="1:2" x14ac:dyDescent="0.35">
      <c r="A79" s="4">
        <v>1993</v>
      </c>
      <c r="B79" s="13">
        <v>2</v>
      </c>
    </row>
    <row r="80" spans="1:2" x14ac:dyDescent="0.35">
      <c r="A80" s="4">
        <v>1994</v>
      </c>
      <c r="B80" s="13">
        <v>6</v>
      </c>
    </row>
    <row r="81" spans="1:2" x14ac:dyDescent="0.35">
      <c r="A81" s="4">
        <v>1995</v>
      </c>
      <c r="B81" s="13">
        <v>5</v>
      </c>
    </row>
    <row r="82" spans="1:2" x14ac:dyDescent="0.35">
      <c r="A82" s="4">
        <v>1996</v>
      </c>
      <c r="B82" s="13">
        <v>6</v>
      </c>
    </row>
    <row r="83" spans="1:2" x14ac:dyDescent="0.35">
      <c r="A83" s="4">
        <v>1997</v>
      </c>
      <c r="B83" s="13">
        <v>6</v>
      </c>
    </row>
    <row r="84" spans="1:2" x14ac:dyDescent="0.35">
      <c r="A84" s="4">
        <v>1998</v>
      </c>
      <c r="B84" s="13">
        <v>5</v>
      </c>
    </row>
    <row r="85" spans="1:2" x14ac:dyDescent="0.35">
      <c r="A85" s="4">
        <v>1999</v>
      </c>
      <c r="B85" s="13">
        <v>10</v>
      </c>
    </row>
    <row r="86" spans="1:2" x14ac:dyDescent="0.35">
      <c r="A86" s="4">
        <v>2000</v>
      </c>
      <c r="B86" s="13">
        <v>8</v>
      </c>
    </row>
    <row r="87" spans="1:2" x14ac:dyDescent="0.35">
      <c r="A87" s="4">
        <v>2001</v>
      </c>
      <c r="B87" s="13">
        <v>9</v>
      </c>
    </row>
    <row r="88" spans="1:2" x14ac:dyDescent="0.35">
      <c r="A88" s="4">
        <v>2002</v>
      </c>
      <c r="B88" s="13">
        <v>12</v>
      </c>
    </row>
    <row r="89" spans="1:2" x14ac:dyDescent="0.35">
      <c r="A89" s="4">
        <v>2003</v>
      </c>
      <c r="B89" s="13">
        <v>12</v>
      </c>
    </row>
    <row r="90" spans="1:2" x14ac:dyDescent="0.35">
      <c r="A90" s="4">
        <v>2004</v>
      </c>
      <c r="B90" s="13">
        <v>13</v>
      </c>
    </row>
    <row r="91" spans="1:2" x14ac:dyDescent="0.35">
      <c r="A91" s="4">
        <v>2005</v>
      </c>
      <c r="B91" s="13">
        <v>9</v>
      </c>
    </row>
    <row r="92" spans="1:2" x14ac:dyDescent="0.35">
      <c r="A92" s="4">
        <v>2006</v>
      </c>
      <c r="B92" s="13">
        <v>21</v>
      </c>
    </row>
    <row r="93" spans="1:2" x14ac:dyDescent="0.35">
      <c r="A93" s="4">
        <v>2007</v>
      </c>
      <c r="B93" s="13">
        <v>18</v>
      </c>
    </row>
    <row r="94" spans="1:2" x14ac:dyDescent="0.35">
      <c r="A94" s="4">
        <v>2008</v>
      </c>
      <c r="B94" s="13">
        <v>20</v>
      </c>
    </row>
    <row r="95" spans="1:2" x14ac:dyDescent="0.35">
      <c r="A95" s="4">
        <v>2009</v>
      </c>
      <c r="B95" s="13">
        <v>24</v>
      </c>
    </row>
    <row r="96" spans="1:2" x14ac:dyDescent="0.35">
      <c r="A96" s="4">
        <v>2010</v>
      </c>
      <c r="B96" s="13">
        <v>28</v>
      </c>
    </row>
    <row r="97" spans="1:2" x14ac:dyDescent="0.35">
      <c r="A97" s="4">
        <v>2011</v>
      </c>
      <c r="B97" s="13">
        <v>22</v>
      </c>
    </row>
    <row r="98" spans="1:2" x14ac:dyDescent="0.35">
      <c r="A98" s="4">
        <v>2012</v>
      </c>
      <c r="B98" s="13">
        <v>27</v>
      </c>
    </row>
    <row r="99" spans="1:2" x14ac:dyDescent="0.35">
      <c r="A99" s="4">
        <v>2013</v>
      </c>
      <c r="B99" s="13">
        <v>24</v>
      </c>
    </row>
    <row r="100" spans="1:2" x14ac:dyDescent="0.35">
      <c r="A100" s="4">
        <v>2014</v>
      </c>
      <c r="B100" s="13">
        <v>32</v>
      </c>
    </row>
    <row r="101" spans="1:2" x14ac:dyDescent="0.35">
      <c r="A101" s="4">
        <v>2015</v>
      </c>
      <c r="B101" s="13">
        <v>29</v>
      </c>
    </row>
    <row r="102" spans="1:2" x14ac:dyDescent="0.35">
      <c r="A102" s="4">
        <v>2016</v>
      </c>
      <c r="B102" s="13">
        <v>17</v>
      </c>
    </row>
    <row r="103" spans="1:2" x14ac:dyDescent="0.35">
      <c r="A103" s="4">
        <v>2017</v>
      </c>
      <c r="B103" s="13">
        <v>28</v>
      </c>
    </row>
    <row r="104" spans="1:2" x14ac:dyDescent="0.35">
      <c r="A104" s="4">
        <v>2018</v>
      </c>
      <c r="B104" s="13">
        <v>14</v>
      </c>
    </row>
    <row r="105" spans="1:2" x14ac:dyDescent="0.35">
      <c r="A105" s="4">
        <v>2019</v>
      </c>
      <c r="B105" s="13">
        <v>11</v>
      </c>
    </row>
    <row r="106" spans="1:2" x14ac:dyDescent="0.35">
      <c r="A106" s="4">
        <v>2020</v>
      </c>
      <c r="B106" s="13">
        <v>6</v>
      </c>
    </row>
    <row r="107" spans="1:2" x14ac:dyDescent="0.35">
      <c r="A107" s="4">
        <v>2021</v>
      </c>
      <c r="B107" s="13">
        <v>4</v>
      </c>
    </row>
    <row r="108" spans="1:2" x14ac:dyDescent="0.35">
      <c r="A108" s="4">
        <v>2022</v>
      </c>
      <c r="B108" s="13">
        <v>2</v>
      </c>
    </row>
    <row r="109" spans="1:2" x14ac:dyDescent="0.35">
      <c r="A109" s="4">
        <v>2023</v>
      </c>
      <c r="B109" s="13">
        <v>2</v>
      </c>
    </row>
    <row r="110" spans="1:2" x14ac:dyDescent="0.35">
      <c r="A110" s="4" t="s">
        <v>607</v>
      </c>
      <c r="B110" s="13">
        <v>500</v>
      </c>
    </row>
    <row r="112" spans="1:2" x14ac:dyDescent="0.35">
      <c r="A112" t="s">
        <v>611</v>
      </c>
    </row>
    <row r="113" spans="1:2" x14ac:dyDescent="0.35">
      <c r="A113" s="2" t="s">
        <v>606</v>
      </c>
      <c r="B113" t="s">
        <v>612</v>
      </c>
    </row>
    <row r="114" spans="1:2" x14ac:dyDescent="0.35">
      <c r="A114" s="4" t="s">
        <v>49</v>
      </c>
      <c r="B114" s="13">
        <v>244472</v>
      </c>
    </row>
    <row r="115" spans="1:2" x14ac:dyDescent="0.35">
      <c r="A115" s="4" t="s">
        <v>19</v>
      </c>
      <c r="B115" s="13">
        <v>2096168</v>
      </c>
    </row>
    <row r="116" spans="1:2" x14ac:dyDescent="0.35">
      <c r="A116" s="4" t="s">
        <v>607</v>
      </c>
      <c r="B116" s="13">
        <v>2340640</v>
      </c>
    </row>
    <row r="127" spans="1:2" x14ac:dyDescent="0.35">
      <c r="A127" t="s">
        <v>613</v>
      </c>
    </row>
    <row r="128" spans="1:2" x14ac:dyDescent="0.35">
      <c r="A128" s="2" t="s">
        <v>606</v>
      </c>
      <c r="B128" t="s">
        <v>600</v>
      </c>
    </row>
    <row r="129" spans="1:2" x14ac:dyDescent="0.35">
      <c r="A129" s="4" t="s">
        <v>17</v>
      </c>
      <c r="B129" s="13">
        <v>2722703</v>
      </c>
    </row>
    <row r="130" spans="1:2" x14ac:dyDescent="0.35">
      <c r="A130" s="4" t="s">
        <v>258</v>
      </c>
      <c r="B130" s="13">
        <v>17658</v>
      </c>
    </row>
    <row r="131" spans="1:2" x14ac:dyDescent="0.35">
      <c r="A131" s="4" t="s">
        <v>130</v>
      </c>
      <c r="B131" s="13">
        <v>29604</v>
      </c>
    </row>
    <row r="132" spans="1:2" x14ac:dyDescent="0.35">
      <c r="A132" s="4" t="s">
        <v>73</v>
      </c>
      <c r="B132" s="13">
        <v>151112</v>
      </c>
    </row>
    <row r="133" spans="1:2" x14ac:dyDescent="0.35">
      <c r="A133" s="4" t="s">
        <v>409</v>
      </c>
      <c r="B133" s="13">
        <v>14826</v>
      </c>
    </row>
    <row r="134" spans="1:2" x14ac:dyDescent="0.35">
      <c r="A134" s="4" t="s">
        <v>47</v>
      </c>
      <c r="B134" s="13">
        <v>28333</v>
      </c>
    </row>
    <row r="135" spans="1:2" x14ac:dyDescent="0.35">
      <c r="A135" s="4" t="s">
        <v>168</v>
      </c>
      <c r="B135" s="13">
        <v>89466</v>
      </c>
    </row>
    <row r="136" spans="1:2" x14ac:dyDescent="0.35">
      <c r="A136" s="4" t="s">
        <v>551</v>
      </c>
      <c r="B136" s="13">
        <v>6013</v>
      </c>
    </row>
    <row r="137" spans="1:2" x14ac:dyDescent="0.35">
      <c r="A137" s="4" t="s">
        <v>25</v>
      </c>
      <c r="B137" s="13">
        <v>1151681</v>
      </c>
    </row>
    <row r="138" spans="1:2" x14ac:dyDescent="0.35">
      <c r="A138" s="4" t="s">
        <v>233</v>
      </c>
      <c r="B138" s="13">
        <v>28000</v>
      </c>
    </row>
    <row r="139" spans="1:2" x14ac:dyDescent="0.35">
      <c r="A139" s="4" t="s">
        <v>519</v>
      </c>
      <c r="B139" s="13">
        <v>7212</v>
      </c>
    </row>
    <row r="140" spans="1:2" x14ac:dyDescent="0.35">
      <c r="A140" s="4" t="s">
        <v>607</v>
      </c>
      <c r="B140" s="13">
        <v>4246608</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BD18F-B472-493C-910C-3E8FE419A9F2}">
  <dimension ref="D1:N11"/>
  <sheetViews>
    <sheetView tabSelected="1" zoomScale="79" zoomScaleNormal="79" workbookViewId="0">
      <selection activeCell="AC17" sqref="AC17"/>
    </sheetView>
  </sheetViews>
  <sheetFormatPr defaultRowHeight="14.5" x14ac:dyDescent="0.35"/>
  <cols>
    <col min="1" max="2" width="8.7265625" style="5"/>
    <col min="3" max="3" width="6.453125" style="5" customWidth="1"/>
    <col min="4" max="4" width="8.7265625" style="5"/>
    <col min="5" max="5" width="7.54296875" style="5" customWidth="1"/>
    <col min="6" max="6" width="1.36328125" style="5" customWidth="1"/>
    <col min="7" max="7" width="8.7265625" style="5"/>
    <col min="8" max="8" width="6.81640625" style="5" customWidth="1"/>
    <col min="9" max="9" width="1.08984375" style="5" customWidth="1"/>
    <col min="10" max="10" width="0.7265625" style="5" customWidth="1"/>
    <col min="11" max="11" width="8.7265625" style="5"/>
    <col min="12" max="12" width="1.08984375" style="5" customWidth="1"/>
    <col min="13" max="13" width="6.6328125" style="5" customWidth="1"/>
    <col min="14" max="16384" width="8.7265625" style="5"/>
  </cols>
  <sheetData>
    <row r="1" spans="4:14" s="6" customFormat="1" ht="15.5" x14ac:dyDescent="0.35">
      <c r="D1" s="10" t="s">
        <v>614</v>
      </c>
      <c r="E1" s="10"/>
      <c r="G1" s="7" t="s">
        <v>615</v>
      </c>
      <c r="H1" s="8"/>
      <c r="J1" s="10" t="s">
        <v>616</v>
      </c>
      <c r="K1" s="8"/>
      <c r="M1" s="7" t="s">
        <v>617</v>
      </c>
      <c r="N1" s="8"/>
    </row>
    <row r="2" spans="4:14" s="6" customFormat="1" ht="18.5" x14ac:dyDescent="0.45">
      <c r="D2" s="10">
        <f>GETPIVOTDATA("Total Streams (in millions)",kpi!$A$2)</f>
        <v>8408802</v>
      </c>
      <c r="E2" s="10"/>
      <c r="G2" s="12">
        <f>GETPIVOTDATA("Collaborative Streams (in millions)",kpi!$A$5)</f>
        <v>8493.2160000000003</v>
      </c>
      <c r="H2" s="12"/>
      <c r="J2" s="7">
        <f>GETPIVOTDATA("Artist Name",kpi!$A$9)</f>
        <v>500</v>
      </c>
      <c r="K2" s="7"/>
      <c r="M2" s="9">
        <f>GETPIVOTDATA("Debut Year",kpi!$A$13)</f>
        <v>2005.346</v>
      </c>
      <c r="N2" s="9"/>
    </row>
    <row r="3" spans="4:14" ht="14.5" customHeight="1" x14ac:dyDescent="0.35">
      <c r="D3" s="11"/>
      <c r="E3" s="11"/>
    </row>
    <row r="5" spans="4:14" ht="16" customHeight="1" x14ac:dyDescent="0.35"/>
    <row r="7" spans="4:14" ht="20.5" customHeight="1" x14ac:dyDescent="0.35"/>
    <row r="8" spans="4:14" ht="14" customHeight="1" x14ac:dyDescent="0.35"/>
    <row r="11" spans="4:14" ht="14" customHeight="1" x14ac:dyDescent="0.35"/>
  </sheetData>
  <mergeCells count="9">
    <mergeCell ref="D3:E3"/>
    <mergeCell ref="G1:H1"/>
    <mergeCell ref="G2:H2"/>
    <mergeCell ref="J1:K1"/>
    <mergeCell ref="J2:K2"/>
    <mergeCell ref="M1:N1"/>
    <mergeCell ref="M2:N2"/>
    <mergeCell ref="D1:E1"/>
    <mergeCell ref="D2:E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5DE0FC-66D8-4527-9A85-187644BBE8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Charts</vt:lpstr>
      </vt:variant>
      <vt:variant>
        <vt:i4>1</vt:i4>
      </vt:variant>
    </vt:vector>
  </HeadingPairs>
  <TitlesOfParts>
    <vt:vector size="6" baseType="lpstr">
      <vt:lpstr>spotify</vt:lpstr>
      <vt:lpstr>row data</vt:lpstr>
      <vt:lpstr>kpi</vt:lpstr>
      <vt:lpstr>chart</vt:lpstr>
      <vt:lpstr>Sheet3</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dmoholkar81@gmail.com</cp:lastModifiedBy>
  <dcterms:created xsi:type="dcterms:W3CDTF">2026-08-16T01:23:42Z</dcterms:created>
  <dcterms:modified xsi:type="dcterms:W3CDTF">2026-08-16T03:02:01Z</dcterms:modified>
</cp:coreProperties>
</file>